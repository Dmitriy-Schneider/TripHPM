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mitr\OneDrive\Desktop\AL\TRIP\backend\templates\"/>
    </mc:Choice>
  </mc:AlternateContent>
  <xr:revisionPtr revIDLastSave="0" documentId="8_{A66DB01F-1834-48F4-8C6E-9AC9EBBE746E}" xr6:coauthVersionLast="47" xr6:coauthVersionMax="47" xr10:uidLastSave="{00000000-0000-0000-0000-000000000000}"/>
  <bookViews>
    <workbookView xWindow="348" yWindow="924" windowWidth="20064" windowHeight="11016" tabRatio="599" firstSheet="2" activeTab="2"/>
  </bookViews>
  <sheets>
    <sheet name="sweapr96" sheetId="1" r:id="rId1"/>
    <sheet name="№ Days" sheetId="2" state="veryHidden" r:id=""/>
    <sheet name="business trip report" sheetId="3" r:id="rId2"/>
    <sheet name="Инструкция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3" l="1"/>
  <c r="D18" i="3"/>
  <c r="I21" i="3"/>
  <c r="B18" i="3"/>
  <c r="G18" i="3"/>
  <c r="I19" i="1"/>
  <c r="I35" i="1"/>
  <c r="I21" i="1"/>
  <c r="I36" i="1"/>
  <c r="I23" i="1"/>
  <c r="I37" i="1"/>
  <c r="I25" i="1"/>
  <c r="I38" i="1"/>
  <c r="G31" i="1"/>
  <c r="E25" i="1"/>
  <c r="E23" i="1"/>
  <c r="E21" i="1"/>
  <c r="E19" i="1"/>
  <c r="E17" i="1"/>
  <c r="E15" i="1"/>
  <c r="E13" i="1"/>
  <c r="E11" i="1"/>
  <c r="I40" i="1"/>
  <c r="I26" i="1"/>
  <c r="I28" i="1"/>
  <c r="I33" i="1"/>
  <c r="F8" i="3"/>
  <c r="H11" i="3"/>
  <c r="I11" i="3"/>
  <c r="I20" i="3"/>
  <c r="I22" i="3"/>
</calcChain>
</file>

<file path=xl/sharedStrings.xml><?xml version="1.0" encoding="utf-8"?>
<sst xmlns="http://schemas.openxmlformats.org/spreadsheetml/2006/main" count="123" uniqueCount="98">
  <si>
    <t>Area code</t>
  </si>
  <si>
    <t>TRAVEL COST REPORT</t>
  </si>
  <si>
    <t>312-528</t>
  </si>
  <si>
    <t>Departure from</t>
  </si>
  <si>
    <t>Date</t>
  </si>
  <si>
    <t>Time</t>
  </si>
  <si>
    <t>Visiting</t>
  </si>
  <si>
    <t>Moscow</t>
  </si>
  <si>
    <t>Sandviken</t>
  </si>
  <si>
    <t>Return to</t>
  </si>
  <si>
    <t>RUR</t>
  </si>
  <si>
    <t>Rate</t>
  </si>
  <si>
    <t>RUR-USD</t>
  </si>
  <si>
    <t>USD</t>
  </si>
  <si>
    <t>Total</t>
  </si>
  <si>
    <t>Total account</t>
  </si>
  <si>
    <t>Verif. no</t>
  </si>
  <si>
    <t>Daily allowance</t>
  </si>
  <si>
    <t>Tickets</t>
  </si>
  <si>
    <t>Hotel cost</t>
  </si>
  <si>
    <t>Other costs</t>
  </si>
  <si>
    <t>Taxi</t>
  </si>
  <si>
    <t>Tel</t>
  </si>
  <si>
    <t>Entertainment</t>
  </si>
  <si>
    <t>Petrol</t>
  </si>
  <si>
    <t>Minus travel advance</t>
  </si>
  <si>
    <t>Total accounts</t>
  </si>
  <si>
    <t>Deduction from by company paid meals</t>
  </si>
  <si>
    <t>Breakfasts</t>
  </si>
  <si>
    <t>Amount</t>
  </si>
  <si>
    <t>Lunches</t>
  </si>
  <si>
    <t>Dinners</t>
  </si>
  <si>
    <t>Tot deduc</t>
  </si>
  <si>
    <t>Net to receive</t>
  </si>
  <si>
    <t>Total sum</t>
  </si>
  <si>
    <t>Account No</t>
  </si>
  <si>
    <t>Travelling cost</t>
  </si>
  <si>
    <t>Tot cost</t>
  </si>
  <si>
    <t>Place</t>
  </si>
  <si>
    <t>Print name</t>
  </si>
  <si>
    <t>Signature</t>
  </si>
  <si>
    <t>Approved by, print name</t>
  </si>
  <si>
    <t xml:space="preserve">Rates for departure - departure </t>
  </si>
  <si>
    <t>Departue before 1200 hrs -                     100 pct</t>
  </si>
  <si>
    <t>Arrival after 1800 hrs  -                100 pct</t>
  </si>
  <si>
    <t>Departure between 1200-1800 hrs         50 pct</t>
  </si>
  <si>
    <t>Arrival between 1200-1800 hrs -  50 pct</t>
  </si>
  <si>
    <t>Departure after  1800 hrs                          40 pct</t>
  </si>
  <si>
    <t>Arrival before 1200 hrs -               40 pct</t>
  </si>
  <si>
    <t xml:space="preserve"> </t>
  </si>
  <si>
    <t>Выезд</t>
  </si>
  <si>
    <t>Возврат</t>
  </si>
  <si>
    <t>Дата</t>
  </si>
  <si>
    <t>Время</t>
  </si>
  <si>
    <t>Посещение</t>
  </si>
  <si>
    <t>Суточные</t>
  </si>
  <si>
    <t>Место</t>
  </si>
  <si>
    <t>Подотчетное лицо</t>
  </si>
  <si>
    <t>Подпись</t>
  </si>
  <si>
    <t>Уезд до 12.00</t>
  </si>
  <si>
    <t>Уезд между 12.00-18.00</t>
  </si>
  <si>
    <t>Приезд после 18.00</t>
  </si>
  <si>
    <t>Приезд между 12.00-18.00</t>
  </si>
  <si>
    <t>Приезд до 12.00</t>
  </si>
  <si>
    <t>итого</t>
  </si>
  <si>
    <t>сумма суточных</t>
  </si>
  <si>
    <t>Кол-во дней для расчета суточных</t>
  </si>
  <si>
    <t>количество дней командировки по документам</t>
  </si>
  <si>
    <t>средняя сумма суточных за 1 день</t>
  </si>
  <si>
    <t>Вычет за питание</t>
  </si>
  <si>
    <t>Завтрак</t>
  </si>
  <si>
    <t>Обед</t>
  </si>
  <si>
    <t>Ужин</t>
  </si>
  <si>
    <t>Сумма</t>
  </si>
  <si>
    <t>Итого вычет</t>
  </si>
  <si>
    <t>к выдаче</t>
  </si>
  <si>
    <t>Ставки для расчета суточных:</t>
  </si>
  <si>
    <t xml:space="preserve">Приложение к Приказу №    от "__" __________ 2017г.     </t>
  </si>
  <si>
    <t>Расчет суточных</t>
  </si>
  <si>
    <t>Уезд после 18.00</t>
  </si>
  <si>
    <t>Инструкция по использованию</t>
  </si>
  <si>
    <t>Необходимо заполнить</t>
  </si>
  <si>
    <t>1.  Город выезда, дату и время выезда</t>
  </si>
  <si>
    <t>2.  Город приезда, дату приезда и время прибытия</t>
  </si>
  <si>
    <t>3. Город посещения</t>
  </si>
  <si>
    <t xml:space="preserve">4. Проверить норму суточных </t>
  </si>
  <si>
    <t>5. Указать кол-во раз питания которое было оплачено компанией,</t>
  </si>
  <si>
    <t>Например: кол-во завтраков предоставленное гостиницей, кол-во обедов оплаченое компанией или ужинов.</t>
  </si>
  <si>
    <t>1. -15% за предоставленный завтрак</t>
  </si>
  <si>
    <t>2. -30% за предоставленный обед</t>
  </si>
  <si>
    <t>3. -30% за предоставленный ужин</t>
  </si>
  <si>
    <t xml:space="preserve">Программа автоматически расчитает объем суточных исходя из времени убытия и прибытия </t>
  </si>
  <si>
    <t>Из размера суточных будут удержаны суммы за предоставленное питание</t>
  </si>
  <si>
    <t>и объема питания, которое было предоставлено компанией.</t>
  </si>
  <si>
    <t>норма суточных</t>
  </si>
  <si>
    <t>Шнайдер Д.А.</t>
  </si>
  <si>
    <t>Самара</t>
  </si>
  <si>
    <t>Чебоксары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</si>
</sst>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0"/>
      <name val="Arial"/>
      <charset val="204"/>
    </font>
    <font>
      <b/>
      <sz val="10"/>
      <name val="Arial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7"/>
      <name val="Arial"/>
      <family val="2"/>
      <charset val="204"/>
    </font>
    <font>
      <u/>
      <sz val="8"/>
      <name val="Arial"/>
      <family val="2"/>
      <charset val="204"/>
    </font>
    <font>
      <b/>
      <sz val="16"/>
      <name val="Arial"/>
      <family val="2"/>
      <charset val="204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sz val="8"/>
      <name val="Arial"/>
      <family val="2"/>
      <charset val="204"/>
    </font>
    <font>
      <sz val="9"/>
      <name val="Futuris"/>
    </font>
    <font>
      <b/>
      <sz val="9"/>
      <name val="Futuris"/>
    </font>
    <font>
      <sz val="9"/>
      <color indexed="12"/>
      <name val="Futuris"/>
    </font>
    <font>
      <sz val="9"/>
      <color indexed="8"/>
      <name val="Futuris"/>
    </font>
    <font>
      <b/>
      <sz val="11"/>
      <name val="Futuris"/>
    </font>
    <font>
      <sz val="11"/>
      <name val="Arial"/>
      <family val="2"/>
      <charset val="204"/>
    </font>
    <font>
      <sz val="8"/>
      <name val="Futuris"/>
    </font>
    <font>
      <b/>
      <sz val="10"/>
      <name val="Futuris"/>
    </font>
    <font>
      <b/>
      <sz val="8"/>
      <name val="Futuris"/>
    </font>
    <font>
      <b/>
      <sz val="16"/>
      <name val="Futuris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color theme="3" tint="0.39994506668294322"/>
      <name val="Futuris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4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2" xfId="0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2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0" xfId="0" applyFont="1" applyBorder="1"/>
    <xf numFmtId="0" fontId="6" fillId="0" borderId="9" xfId="0" applyFont="1" applyBorder="1"/>
    <xf numFmtId="0" fontId="1" fillId="0" borderId="9" xfId="0" applyFont="1" applyBorder="1"/>
    <xf numFmtId="0" fontId="1" fillId="0" borderId="14" xfId="0" applyFont="1" applyBorder="1"/>
    <xf numFmtId="0" fontId="1" fillId="0" borderId="11" xfId="0" applyFont="1" applyBorder="1"/>
    <xf numFmtId="0" fontId="0" fillId="0" borderId="0" xfId="0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7" fillId="0" borderId="18" xfId="0" applyFont="1" applyBorder="1"/>
    <xf numFmtId="0" fontId="7" fillId="0" borderId="17" xfId="0" applyFont="1" applyBorder="1"/>
    <xf numFmtId="0" fontId="7" fillId="0" borderId="2" xfId="0" applyFont="1" applyBorder="1"/>
    <xf numFmtId="0" fontId="7" fillId="0" borderId="14" xfId="0" applyFont="1" applyBorder="1"/>
    <xf numFmtId="0" fontId="7" fillId="0" borderId="9" xfId="0" applyFont="1" applyBorder="1"/>
    <xf numFmtId="0" fontId="3" fillId="2" borderId="19" xfId="0" applyFont="1" applyFill="1" applyBorder="1"/>
    <xf numFmtId="0" fontId="3" fillId="2" borderId="15" xfId="0" applyFont="1" applyFill="1" applyBorder="1"/>
    <xf numFmtId="0" fontId="7" fillId="2" borderId="20" xfId="0" applyFont="1" applyFill="1" applyBorder="1"/>
    <xf numFmtId="0" fontId="3" fillId="3" borderId="11" xfId="0" applyFont="1" applyFill="1" applyBorder="1"/>
    <xf numFmtId="0" fontId="3" fillId="3" borderId="19" xfId="0" applyFont="1" applyFill="1" applyBorder="1"/>
    <xf numFmtId="0" fontId="5" fillId="3" borderId="19" xfId="0" applyFont="1" applyFill="1" applyBorder="1"/>
    <xf numFmtId="0" fontId="3" fillId="3" borderId="14" xfId="0" applyFont="1" applyFill="1" applyBorder="1"/>
    <xf numFmtId="0" fontId="0" fillId="0" borderId="13" xfId="0" applyBorder="1"/>
    <xf numFmtId="0" fontId="7" fillId="0" borderId="13" xfId="0" applyFont="1" applyBorder="1"/>
    <xf numFmtId="0" fontId="3" fillId="4" borderId="8" xfId="0" applyFont="1" applyFill="1" applyBorder="1"/>
    <xf numFmtId="0" fontId="7" fillId="0" borderId="1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0" xfId="0" applyFont="1" applyFill="1" applyAlignment="1">
      <alignment horizontal="right"/>
    </xf>
    <xf numFmtId="0" fontId="3" fillId="0" borderId="0" xfId="0" applyFont="1" applyFill="1" applyBorder="1"/>
    <xf numFmtId="0" fontId="3" fillId="0" borderId="0" xfId="0" applyFont="1" applyFill="1"/>
    <xf numFmtId="0" fontId="3" fillId="0" borderId="14" xfId="0" applyFont="1" applyFill="1" applyBorder="1"/>
    <xf numFmtId="0" fontId="3" fillId="0" borderId="21" xfId="0" applyFont="1" applyBorder="1"/>
    <xf numFmtId="0" fontId="5" fillId="0" borderId="21" xfId="0" applyFont="1" applyBorder="1"/>
    <xf numFmtId="0" fontId="3" fillId="0" borderId="13" xfId="0" applyFont="1" applyBorder="1" applyAlignment="1">
      <alignment horizontal="center"/>
    </xf>
    <xf numFmtId="0" fontId="3" fillId="0" borderId="22" xfId="0" applyFont="1" applyBorder="1"/>
    <xf numFmtId="0" fontId="3" fillId="0" borderId="12" xfId="0" applyFont="1" applyFill="1" applyBorder="1"/>
    <xf numFmtId="0" fontId="3" fillId="0" borderId="5" xfId="0" applyFont="1" applyFill="1" applyBorder="1"/>
    <xf numFmtId="0" fontId="8" fillId="0" borderId="15" xfId="0" applyFont="1" applyBorder="1"/>
    <xf numFmtId="0" fontId="3" fillId="2" borderId="8" xfId="0" applyFont="1" applyFill="1" applyBorder="1"/>
    <xf numFmtId="0" fontId="0" fillId="5" borderId="0" xfId="0" applyFill="1" applyBorder="1"/>
    <xf numFmtId="0" fontId="0" fillId="5" borderId="0" xfId="0" applyFill="1"/>
    <xf numFmtId="0" fontId="9" fillId="0" borderId="0" xfId="0" applyFont="1"/>
    <xf numFmtId="0" fontId="9" fillId="0" borderId="0" xfId="0" applyFont="1" applyBorder="1"/>
    <xf numFmtId="0" fontId="10" fillId="0" borderId="0" xfId="0" applyFont="1"/>
    <xf numFmtId="0" fontId="10" fillId="0" borderId="3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0" xfId="0" applyFont="1" applyBorder="1"/>
    <xf numFmtId="0" fontId="10" fillId="0" borderId="15" xfId="0" applyFont="1" applyBorder="1" applyAlignment="1">
      <alignment horizontal="center"/>
    </xf>
    <xf numFmtId="0" fontId="10" fillId="0" borderId="10" xfId="0" applyFont="1" applyBorder="1"/>
    <xf numFmtId="0" fontId="10" fillId="0" borderId="0" xfId="0" applyFont="1" applyFill="1" applyBorder="1"/>
    <xf numFmtId="0" fontId="11" fillId="0" borderId="2" xfId="0" applyFont="1" applyBorder="1"/>
    <xf numFmtId="0" fontId="12" fillId="0" borderId="7" xfId="0" applyFont="1" applyBorder="1" applyProtection="1">
      <protection locked="0"/>
    </xf>
    <xf numFmtId="0" fontId="12" fillId="0" borderId="9" xfId="0" applyFont="1" applyBorder="1" applyAlignment="1" applyProtection="1">
      <alignment horizontal="center"/>
      <protection locked="0"/>
    </xf>
    <xf numFmtId="0" fontId="12" fillId="0" borderId="2" xfId="0" applyFont="1" applyBorder="1" applyAlignment="1" applyProtection="1">
      <alignment horizontal="center"/>
      <protection locked="0"/>
    </xf>
    <xf numFmtId="0" fontId="12" fillId="0" borderId="8" xfId="0" applyFont="1" applyBorder="1" applyProtection="1">
      <protection locked="0"/>
    </xf>
    <xf numFmtId="2" fontId="10" fillId="0" borderId="10" xfId="0" applyNumberFormat="1" applyFont="1" applyBorder="1"/>
    <xf numFmtId="2" fontId="10" fillId="6" borderId="11" xfId="0" applyNumberFormat="1" applyFont="1" applyFill="1" applyBorder="1"/>
    <xf numFmtId="0" fontId="9" fillId="0" borderId="0" xfId="0" applyFont="1" applyFill="1"/>
    <xf numFmtId="0" fontId="15" fillId="0" borderId="0" xfId="0" applyFont="1"/>
    <xf numFmtId="0" fontId="10" fillId="7" borderId="14" xfId="0" applyFont="1" applyFill="1" applyBorder="1"/>
    <xf numFmtId="0" fontId="10" fillId="7" borderId="9" xfId="0" applyFont="1" applyFill="1" applyBorder="1"/>
    <xf numFmtId="2" fontId="10" fillId="8" borderId="11" xfId="0" applyNumberFormat="1" applyFont="1" applyFill="1" applyBorder="1"/>
    <xf numFmtId="9" fontId="10" fillId="0" borderId="17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15" xfId="0" applyFont="1" applyBorder="1"/>
    <xf numFmtId="9" fontId="10" fillId="0" borderId="0" xfId="0" applyNumberFormat="1" applyFont="1" applyBorder="1" applyAlignment="1">
      <alignment horizontal="center"/>
    </xf>
    <xf numFmtId="4" fontId="14" fillId="6" borderId="23" xfId="0" applyNumberFormat="1" applyFont="1" applyFill="1" applyBorder="1"/>
    <xf numFmtId="0" fontId="10" fillId="0" borderId="3" xfId="0" applyFont="1" applyBorder="1" applyAlignment="1">
      <alignment vertical="center"/>
    </xf>
    <xf numFmtId="0" fontId="10" fillId="0" borderId="4" xfId="0" applyFont="1" applyBorder="1" applyAlignment="1" applyProtection="1">
      <alignment vertical="center"/>
    </xf>
    <xf numFmtId="0" fontId="10" fillId="0" borderId="5" xfId="0" applyFont="1" applyBorder="1" applyAlignment="1" applyProtection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14" fontId="12" fillId="0" borderId="6" xfId="0" applyNumberFormat="1" applyFont="1" applyBorder="1" applyAlignment="1" applyProtection="1">
      <alignment vertical="center"/>
      <protection locked="0"/>
    </xf>
    <xf numFmtId="14" fontId="10" fillId="0" borderId="7" xfId="0" applyNumberFormat="1" applyFont="1" applyBorder="1" applyAlignment="1" applyProtection="1">
      <alignment vertical="center"/>
    </xf>
    <xf numFmtId="0" fontId="10" fillId="0" borderId="7" xfId="0" applyFont="1" applyBorder="1" applyAlignment="1" applyProtection="1">
      <alignment vertical="center"/>
    </xf>
    <xf numFmtId="0" fontId="10" fillId="0" borderId="8" xfId="0" applyFont="1" applyBorder="1" applyAlignment="1" applyProtection="1">
      <alignment vertical="center"/>
    </xf>
    <xf numFmtId="0" fontId="12" fillId="0" borderId="7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" fontId="10" fillId="0" borderId="11" xfId="0" applyNumberFormat="1" applyFont="1" applyBorder="1" applyAlignment="1">
      <alignment horizontal="center" vertical="center"/>
    </xf>
    <xf numFmtId="4" fontId="10" fillId="0" borderId="1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3" fontId="10" fillId="9" borderId="7" xfId="0" applyNumberFormat="1" applyFont="1" applyFill="1" applyBorder="1" applyAlignment="1" applyProtection="1">
      <alignment vertical="center"/>
    </xf>
    <xf numFmtId="3" fontId="10" fillId="6" borderId="11" xfId="0" applyNumberFormat="1" applyFont="1" applyFill="1" applyBorder="1" applyAlignment="1">
      <alignment vertical="center"/>
    </xf>
    <xf numFmtId="3" fontId="22" fillId="8" borderId="11" xfId="0" applyNumberFormat="1" applyFont="1" applyFill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0" fillId="0" borderId="6" xfId="0" applyBorder="1" applyAlignment="1">
      <alignment wrapText="1"/>
    </xf>
    <xf numFmtId="0" fontId="20" fillId="10" borderId="0" xfId="0" applyFont="1" applyFill="1"/>
    <xf numFmtId="0" fontId="21" fillId="0" borderId="0" xfId="0" applyFont="1"/>
    <xf numFmtId="0" fontId="20" fillId="0" borderId="0" xfId="0" applyFont="1"/>
    <xf numFmtId="9" fontId="0" fillId="0" borderId="0" xfId="1" applyFont="1" applyAlignment="1">
      <alignment horizontal="left"/>
    </xf>
    <xf numFmtId="0" fontId="16" fillId="0" borderId="0" xfId="0" applyFont="1" applyFill="1" applyBorder="1" applyAlignment="1">
      <alignment horizontal="left" vertical="center"/>
    </xf>
    <xf numFmtId="9" fontId="16" fillId="0" borderId="0" xfId="0" applyNumberFormat="1" applyFont="1" applyFill="1" applyBorder="1" applyAlignment="1">
      <alignment horizontal="left" vertical="center"/>
    </xf>
    <xf numFmtId="9" fontId="16" fillId="0" borderId="0" xfId="0" applyNumberFormat="1" applyFont="1" applyFill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4" xfId="0" applyFont="1" applyBorder="1" applyAlignment="1">
      <alignment horizontal="right"/>
    </xf>
    <xf numFmtId="0" fontId="18" fillId="0" borderId="15" xfId="0" applyFont="1" applyBorder="1" applyAlignment="1">
      <alignment horizontal="center"/>
    </xf>
    <xf numFmtId="3" fontId="10" fillId="6" borderId="23" xfId="0" applyNumberFormat="1" applyFont="1" applyFill="1" applyBorder="1"/>
    <xf numFmtId="0" fontId="10" fillId="0" borderId="12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49" fontId="12" fillId="0" borderId="6" xfId="0" applyNumberFormat="1" applyFont="1" applyBorder="1" applyAlignment="1" applyProtection="1">
      <alignment vertical="center"/>
      <protection locked="0"/>
    </xf>
    <xf numFmtId="14" fontId="12" fillId="0" borderId="11" xfId="0" applyNumberFormat="1" applyFont="1" applyBorder="1" applyAlignment="1" applyProtection="1">
      <alignment horizontal="right" vertical="center"/>
      <protection locked="0"/>
    </xf>
    <xf numFmtId="20" fontId="12" fillId="0" borderId="11" xfId="0" applyNumberFormat="1" applyFont="1" applyBorder="1" applyAlignment="1" applyProtection="1">
      <alignment vertical="center"/>
      <protection locked="0"/>
    </xf>
    <xf numFmtId="0" fontId="13" fillId="0" borderId="7" xfId="0" applyFont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 vertical="center"/>
      <protection locked="0"/>
    </xf>
    <xf numFmtId="0" fontId="12" fillId="0" borderId="7" xfId="0" applyFont="1" applyBorder="1" applyAlignment="1" applyProtection="1">
      <alignment horizontal="left"/>
      <protection locked="0"/>
    </xf>
    <xf numFmtId="0" fontId="12" fillId="0" borderId="8" xfId="0" applyFont="1" applyBorder="1" applyAlignment="1" applyProtection="1">
      <alignment horizontal="left"/>
      <protection locked="0"/>
    </xf>
    <xf numFmtId="0" fontId="10" fillId="0" borderId="0" xfId="0" applyFont="1" applyAlignment="1">
      <alignment horizontal="right"/>
    </xf>
    <xf numFmtId="0" fontId="11" fillId="0" borderId="0" xfId="0" applyFont="1" applyFill="1" applyBorder="1" applyAlignment="1">
      <alignment horizontal="left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9" fillId="0" borderId="0" xfId="0" applyFont="1" applyBorder="1" applyAlignment="1">
      <alignment horizontal="center"/>
    </xf>
    <xf numFmtId="0" fontId="14" fillId="0" borderId="27" xfId="0" applyFont="1" applyBorder="1" applyAlignment="1">
      <alignment horizontal="right"/>
    </xf>
    <xf numFmtId="0" fontId="14" fillId="0" borderId="16" xfId="0" applyFont="1" applyBorder="1" applyAlignment="1">
      <alignment horizontal="right"/>
    </xf>
    <xf numFmtId="0" fontId="14" fillId="0" borderId="28" xfId="0" applyFont="1" applyBorder="1" applyAlignment="1">
      <alignment horizontal="right"/>
    </xf>
    <xf numFmtId="0" fontId="10" fillId="0" borderId="3" xfId="0" applyFont="1" applyBorder="1" applyAlignment="1" applyProtection="1">
      <alignment horizontal="left" wrapText="1"/>
      <protection hidden="1"/>
    </xf>
    <xf numFmtId="0" fontId="10" fillId="0" borderId="4" xfId="0" applyFont="1" applyBorder="1" applyAlignment="1" applyProtection="1">
      <alignment horizontal="left" wrapText="1"/>
      <protection hidden="1"/>
    </xf>
    <xf numFmtId="0" fontId="10" fillId="0" borderId="5" xfId="0" applyFont="1" applyBorder="1" applyAlignment="1" applyProtection="1">
      <alignment horizontal="left" wrapText="1"/>
      <protection hidden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251460</xdr:colOff>
      <xdr:row>3</xdr:row>
      <xdr:rowOff>137160</xdr:rowOff>
    </xdr:to>
    <xdr:pic>
      <xdr:nvPicPr>
        <xdr:cNvPr id="1393" name="Рисунок 1">
          <a:extLst>
            <a:ext uri="{FF2B5EF4-FFF2-40B4-BE49-F238E27FC236}">
              <a16:creationId xmlns:a16="http://schemas.microsoft.com/office/drawing/2014/main" id="{6E9DC7E2-BE09-4A23-8D21-55AFDB386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"/>
          <a:ext cx="123444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</xdr:col>
      <xdr:colOff>38100</xdr:colOff>
      <xdr:row>4</xdr:row>
      <xdr:rowOff>7620</xdr:rowOff>
    </xdr:to>
    <xdr:pic>
      <xdr:nvPicPr>
        <xdr:cNvPr id="1394" name="Рисунок 2">
          <a:extLst>
            <a:ext uri="{FF2B5EF4-FFF2-40B4-BE49-F238E27FC236}">
              <a16:creationId xmlns:a16="http://schemas.microsoft.com/office/drawing/2014/main" id="{E79F736D-24EF-46F2-8E22-ED21CE1A2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640"/>
          <a:ext cx="150114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D485"/>
  <sheetViews>
    <sheetView topLeftCell="A34" zoomScale="75" workbookViewId="0">
      <selection activeCell="F25" sqref="F25"/>
    </sheetView>
  </sheetViews>
  <sheetFormatPr defaultRowHeight="13.2"/>
  <cols>
    <col min="1" max="1" width="14.33203125" customWidth="1"/>
    <col min="2" max="2" width="7" customWidth="1"/>
    <col min="8" max="8" width="9.44140625" customWidth="1"/>
    <col min="9" max="9" width="10.33203125" customWidth="1"/>
    <col min="10" max="10" width="7.44140625" customWidth="1"/>
  </cols>
  <sheetData>
    <row r="2" spans="1:10">
      <c r="I2" s="40" t="s">
        <v>0</v>
      </c>
    </row>
    <row r="3" spans="1:10" ht="21">
      <c r="C3" s="3"/>
      <c r="D3" s="17" t="s">
        <v>1</v>
      </c>
      <c r="E3" s="18"/>
      <c r="F3" s="18"/>
      <c r="G3" s="18"/>
      <c r="H3" s="19"/>
      <c r="I3" s="20" t="s">
        <v>2</v>
      </c>
    </row>
    <row r="5" spans="1:10">
      <c r="A5" s="4" t="s">
        <v>3</v>
      </c>
      <c r="B5" s="6"/>
      <c r="C5" s="2" t="s">
        <v>4</v>
      </c>
      <c r="D5" s="2" t="s">
        <v>5</v>
      </c>
      <c r="E5" s="5" t="s">
        <v>6</v>
      </c>
      <c r="F5" s="5"/>
      <c r="G5" s="5"/>
      <c r="H5" s="5"/>
      <c r="I5" s="6"/>
    </row>
    <row r="6" spans="1:10">
      <c r="A6" s="7" t="s">
        <v>7</v>
      </c>
      <c r="B6" s="9"/>
      <c r="C6" s="13">
        <v>960417</v>
      </c>
      <c r="D6" s="13">
        <v>1530</v>
      </c>
      <c r="E6" s="8" t="s">
        <v>8</v>
      </c>
      <c r="F6" s="8"/>
      <c r="G6" s="8"/>
      <c r="H6" s="8"/>
      <c r="I6" s="9"/>
    </row>
    <row r="7" spans="1:10">
      <c r="A7" s="4" t="s">
        <v>9</v>
      </c>
      <c r="B7" s="5"/>
      <c r="C7" s="2" t="s">
        <v>4</v>
      </c>
      <c r="D7" s="2" t="s">
        <v>5</v>
      </c>
      <c r="E7" s="5"/>
      <c r="F7" s="5"/>
      <c r="G7" s="5"/>
      <c r="I7" s="6"/>
    </row>
    <row r="8" spans="1:10">
      <c r="A8" s="7" t="s">
        <v>7</v>
      </c>
      <c r="B8" s="8"/>
      <c r="C8" s="13">
        <v>960421</v>
      </c>
      <c r="D8" s="13">
        <v>1930</v>
      </c>
      <c r="E8" s="8"/>
      <c r="F8" s="8"/>
      <c r="G8" s="8"/>
      <c r="H8" s="8"/>
      <c r="I8" s="9"/>
    </row>
    <row r="9" spans="1:10">
      <c r="A9" s="10"/>
      <c r="B9" s="11"/>
      <c r="C9" s="48" t="s">
        <v>10</v>
      </c>
      <c r="D9" s="48" t="s">
        <v>11</v>
      </c>
      <c r="E9" s="48" t="s">
        <v>12</v>
      </c>
      <c r="F9" s="48" t="s">
        <v>13</v>
      </c>
      <c r="G9" s="48" t="s">
        <v>14</v>
      </c>
      <c r="H9" s="42"/>
      <c r="I9" s="49" t="s">
        <v>15</v>
      </c>
      <c r="J9" s="14" t="s">
        <v>16</v>
      </c>
    </row>
    <row r="10" spans="1:10">
      <c r="A10" s="24"/>
      <c r="B10" s="1"/>
      <c r="C10" s="44"/>
      <c r="D10" s="44"/>
      <c r="E10" s="2"/>
      <c r="F10" s="24"/>
      <c r="G10" s="2"/>
      <c r="H10" s="1"/>
      <c r="I10" s="2"/>
      <c r="J10" s="2"/>
    </row>
    <row r="11" spans="1:10">
      <c r="A11" s="50" t="s">
        <v>17</v>
      </c>
      <c r="B11" s="41">
        <v>6720</v>
      </c>
      <c r="C11" s="45"/>
      <c r="D11" s="45"/>
      <c r="E11" s="42">
        <f>SUM(C11:D11)</f>
        <v>0</v>
      </c>
      <c r="F11" s="7">
        <v>224</v>
      </c>
      <c r="G11" s="33">
        <v>224</v>
      </c>
      <c r="H11" s="8"/>
      <c r="I11" s="13"/>
      <c r="J11" s="13"/>
    </row>
    <row r="12" spans="1:10">
      <c r="A12" s="51"/>
      <c r="B12" s="41"/>
      <c r="C12" s="43"/>
      <c r="D12" s="43"/>
      <c r="E12" s="43"/>
      <c r="F12" s="24"/>
      <c r="G12" s="12"/>
      <c r="H12" s="1"/>
      <c r="I12" s="12"/>
      <c r="J12" s="2"/>
    </row>
    <row r="13" spans="1:10">
      <c r="A13" s="50" t="s">
        <v>18</v>
      </c>
      <c r="B13" s="41">
        <v>6720</v>
      </c>
      <c r="C13" s="45"/>
      <c r="D13" s="45"/>
      <c r="E13" s="42">
        <f>SUM(C13:D13)</f>
        <v>0</v>
      </c>
      <c r="F13" s="7"/>
      <c r="G13" s="33"/>
      <c r="H13" s="8"/>
      <c r="I13" s="13"/>
      <c r="J13" s="13"/>
    </row>
    <row r="14" spans="1:10">
      <c r="A14" s="51"/>
      <c r="B14" s="41"/>
      <c r="C14" s="43"/>
      <c r="D14" s="43"/>
      <c r="E14" s="43"/>
      <c r="F14" s="24"/>
      <c r="G14" s="12"/>
      <c r="H14" s="1"/>
      <c r="I14" s="12"/>
      <c r="J14" s="2"/>
    </row>
    <row r="15" spans="1:10">
      <c r="A15" s="50" t="s">
        <v>19</v>
      </c>
      <c r="B15" s="41">
        <v>6720</v>
      </c>
      <c r="C15" s="45"/>
      <c r="D15" s="45"/>
      <c r="E15" s="42">
        <f>SUM(C15:D15)</f>
        <v>0</v>
      </c>
      <c r="F15" s="7"/>
      <c r="G15" s="33"/>
      <c r="H15" s="8"/>
      <c r="I15" s="13"/>
      <c r="J15" s="13"/>
    </row>
    <row r="16" spans="1:10">
      <c r="A16" s="51"/>
      <c r="B16" s="41"/>
      <c r="C16" s="43"/>
      <c r="D16" s="43"/>
      <c r="E16" s="43"/>
      <c r="F16" s="24"/>
      <c r="G16" s="12"/>
      <c r="H16" s="1"/>
      <c r="I16" s="2"/>
      <c r="J16" s="2"/>
    </row>
    <row r="17" spans="1:10">
      <c r="A17" s="50" t="s">
        <v>20</v>
      </c>
      <c r="B17" s="41">
        <v>6720</v>
      </c>
      <c r="C17" s="45"/>
      <c r="D17" s="45"/>
      <c r="E17" s="42">
        <f>SUM(C17:D17)</f>
        <v>0</v>
      </c>
      <c r="F17" s="7"/>
      <c r="G17" s="33"/>
      <c r="H17" s="9"/>
      <c r="I17" s="8"/>
      <c r="J17" s="13"/>
    </row>
    <row r="18" spans="1:10">
      <c r="A18" s="51"/>
      <c r="B18" s="41"/>
      <c r="C18" s="43"/>
      <c r="D18" s="43"/>
      <c r="E18" s="43"/>
      <c r="F18" s="24"/>
      <c r="G18" s="12"/>
      <c r="H18" s="1"/>
      <c r="I18" s="12"/>
      <c r="J18" s="2"/>
    </row>
    <row r="19" spans="1:10" ht="13.8" thickBot="1">
      <c r="A19" s="52" t="s">
        <v>21</v>
      </c>
      <c r="B19" s="41">
        <v>6720</v>
      </c>
      <c r="C19" s="47"/>
      <c r="D19" s="47"/>
      <c r="E19" s="59">
        <f>SUM(C19:D19)</f>
        <v>0</v>
      </c>
      <c r="F19" s="58"/>
      <c r="G19" s="35"/>
      <c r="H19" s="15"/>
      <c r="I19" s="30">
        <f>SUM(G11+G13+G15+G17+G19)</f>
        <v>224</v>
      </c>
      <c r="J19" s="13"/>
    </row>
    <row r="20" spans="1:10">
      <c r="A20" s="51"/>
      <c r="B20" s="41"/>
      <c r="C20" s="43"/>
      <c r="D20" s="43"/>
      <c r="E20" s="43"/>
      <c r="F20" s="24"/>
      <c r="G20" s="12"/>
      <c r="H20" s="1"/>
      <c r="I20" s="12"/>
      <c r="J20" s="2"/>
    </row>
    <row r="21" spans="1:10" ht="13.8" thickBot="1">
      <c r="A21" s="50" t="s">
        <v>22</v>
      </c>
      <c r="B21" s="41">
        <v>6610</v>
      </c>
      <c r="C21" s="46"/>
      <c r="D21" s="46"/>
      <c r="E21" s="59">
        <f>SUM(C21:D21)</f>
        <v>0</v>
      </c>
      <c r="F21" s="57"/>
      <c r="G21" s="34"/>
      <c r="H21" s="15"/>
      <c r="I21" s="30">
        <f>SUM(G21)</f>
        <v>0</v>
      </c>
      <c r="J21" s="13"/>
    </row>
    <row r="22" spans="1:10">
      <c r="A22" s="51"/>
      <c r="B22" s="41"/>
      <c r="C22" s="43"/>
      <c r="D22" s="43"/>
      <c r="E22" s="43"/>
      <c r="F22" s="24"/>
      <c r="G22" s="12"/>
      <c r="H22" s="22"/>
      <c r="I22" s="12"/>
      <c r="J22" s="2"/>
    </row>
    <row r="23" spans="1:10" ht="13.8" thickBot="1">
      <c r="A23" s="50" t="s">
        <v>23</v>
      </c>
      <c r="B23" s="41">
        <v>6850</v>
      </c>
      <c r="C23" s="46"/>
      <c r="D23" s="46"/>
      <c r="E23" s="59">
        <f>SUM(C23:D23)</f>
        <v>0</v>
      </c>
      <c r="F23" s="57"/>
      <c r="G23" s="34"/>
      <c r="H23" s="60"/>
      <c r="I23" s="30">
        <f>SUM(G23)</f>
        <v>0</v>
      </c>
      <c r="J23" s="13"/>
    </row>
    <row r="24" spans="1:10">
      <c r="A24" s="51"/>
      <c r="B24" s="41"/>
      <c r="C24" s="43"/>
      <c r="D24" s="43"/>
      <c r="E24" s="43"/>
      <c r="F24" s="24"/>
      <c r="G24" s="12"/>
      <c r="H24" s="22"/>
      <c r="I24" s="12"/>
      <c r="J24" s="2"/>
    </row>
    <row r="25" spans="1:10" ht="13.8" thickBot="1">
      <c r="A25" s="50" t="s">
        <v>24</v>
      </c>
      <c r="B25" s="41">
        <v>3520</v>
      </c>
      <c r="C25" s="46"/>
      <c r="D25" s="46"/>
      <c r="E25" s="59">
        <f>SUM(C25:D25)</f>
        <v>0</v>
      </c>
      <c r="F25" s="57"/>
      <c r="G25" s="34"/>
      <c r="H25" s="37"/>
      <c r="I25" s="30">
        <f>SUM(G25)</f>
        <v>0</v>
      </c>
      <c r="J25" s="13"/>
    </row>
    <row r="26" spans="1:10">
      <c r="A26" s="50" t="s">
        <v>14</v>
      </c>
      <c r="B26" s="53"/>
      <c r="C26" s="54"/>
      <c r="D26" s="54"/>
      <c r="E26" s="16"/>
      <c r="F26" s="16"/>
      <c r="G26" s="61"/>
      <c r="H26" s="62"/>
      <c r="I26" s="31">
        <f>SUM(I19:I25)</f>
        <v>224</v>
      </c>
    </row>
    <row r="27" spans="1:10" ht="13.8" thickBot="1">
      <c r="A27" s="26" t="s">
        <v>25</v>
      </c>
      <c r="B27" s="55"/>
      <c r="C27" s="54"/>
      <c r="D27" s="54"/>
      <c r="E27" s="16"/>
      <c r="F27" s="16"/>
      <c r="G27" s="34"/>
      <c r="H27" s="56"/>
      <c r="I27" s="22"/>
    </row>
    <row r="28" spans="1:10">
      <c r="A28" s="26" t="s">
        <v>26</v>
      </c>
      <c r="B28" s="55"/>
      <c r="C28" s="54"/>
      <c r="D28" s="54"/>
      <c r="E28" s="16"/>
      <c r="F28" s="16"/>
      <c r="G28" s="16"/>
      <c r="H28" s="39"/>
      <c r="I28" s="31">
        <f>SUM(I26-G27)</f>
        <v>224</v>
      </c>
    </row>
    <row r="29" spans="1:10">
      <c r="A29" s="27" t="s">
        <v>27</v>
      </c>
      <c r="B29" s="11"/>
      <c r="C29" s="11"/>
      <c r="D29" s="11"/>
      <c r="E29" s="11"/>
      <c r="F29" s="11"/>
      <c r="G29" s="11"/>
      <c r="H29" s="22"/>
      <c r="I29" s="14"/>
    </row>
    <row r="30" spans="1:10">
      <c r="A30" s="27" t="s">
        <v>28</v>
      </c>
      <c r="B30" s="28" t="s">
        <v>29</v>
      </c>
      <c r="C30" s="29" t="s">
        <v>30</v>
      </c>
      <c r="D30" s="28" t="s">
        <v>29</v>
      </c>
      <c r="E30" s="29" t="s">
        <v>31</v>
      </c>
      <c r="F30" s="28" t="s">
        <v>29</v>
      </c>
      <c r="G30" s="63" t="s">
        <v>32</v>
      </c>
      <c r="I30" s="12"/>
    </row>
    <row r="31" spans="1:10">
      <c r="A31" s="10"/>
      <c r="B31" s="36"/>
      <c r="C31" s="11"/>
      <c r="D31" s="36"/>
      <c r="E31" s="11"/>
      <c r="F31" s="36"/>
      <c r="G31" s="64">
        <f>SUM(B31+D31+F31)</f>
        <v>0</v>
      </c>
      <c r="I31" s="13"/>
    </row>
    <row r="32" spans="1:10" ht="13.8" thickBot="1">
      <c r="A32" s="24"/>
      <c r="B32" s="1"/>
      <c r="C32" s="1"/>
      <c r="D32" s="1"/>
      <c r="E32" s="1"/>
      <c r="F32" s="1"/>
      <c r="G32" s="1"/>
      <c r="H32" s="37"/>
      <c r="I32" s="12"/>
    </row>
    <row r="33" spans="1:9" ht="13.8" thickBot="1">
      <c r="A33" s="25" t="s">
        <v>33</v>
      </c>
      <c r="B33" s="23"/>
      <c r="C33" s="23"/>
      <c r="D33" s="23"/>
      <c r="E33" s="23"/>
      <c r="F33" s="23"/>
      <c r="G33" s="23"/>
      <c r="H33" s="38" t="s">
        <v>34</v>
      </c>
      <c r="I33" s="32">
        <f>SUM(I28-G31)</f>
        <v>224</v>
      </c>
    </row>
    <row r="34" spans="1:9">
      <c r="A34" s="24"/>
      <c r="B34" s="1"/>
      <c r="C34" s="1"/>
      <c r="D34" s="1"/>
      <c r="E34" s="1"/>
      <c r="F34" s="1"/>
      <c r="G34" s="1"/>
      <c r="H34" s="1"/>
      <c r="I34" s="12"/>
    </row>
    <row r="35" spans="1:9">
      <c r="A35" s="26" t="s">
        <v>35</v>
      </c>
      <c r="B35" s="1">
        <v>6720</v>
      </c>
      <c r="C35" s="1" t="s">
        <v>36</v>
      </c>
      <c r="D35" s="1"/>
      <c r="F35" s="1"/>
      <c r="G35" s="1"/>
      <c r="I35" s="13">
        <f>SUM(I19)</f>
        <v>224</v>
      </c>
    </row>
    <row r="36" spans="1:9">
      <c r="A36" s="24"/>
      <c r="B36" s="1">
        <v>6610</v>
      </c>
      <c r="C36" s="1" t="s">
        <v>22</v>
      </c>
      <c r="D36" s="1"/>
      <c r="E36" s="1"/>
      <c r="F36" s="1"/>
      <c r="G36" s="1"/>
      <c r="H36" s="1"/>
      <c r="I36" s="13">
        <f>SUM(I21)</f>
        <v>0</v>
      </c>
    </row>
    <row r="37" spans="1:9">
      <c r="A37" s="24"/>
      <c r="B37" s="1">
        <v>6850</v>
      </c>
      <c r="C37" s="1" t="s">
        <v>23</v>
      </c>
      <c r="D37" s="1"/>
      <c r="E37" s="1"/>
      <c r="F37" s="1"/>
      <c r="G37" s="1"/>
      <c r="H37" s="1"/>
      <c r="I37" s="13">
        <f>SUM(I23)</f>
        <v>0</v>
      </c>
    </row>
    <row r="38" spans="1:9">
      <c r="A38" s="24"/>
      <c r="B38" s="1">
        <v>3520</v>
      </c>
      <c r="C38" s="1" t="s">
        <v>24</v>
      </c>
      <c r="D38" s="1"/>
      <c r="E38" s="1"/>
      <c r="F38" s="1"/>
      <c r="G38" s="1"/>
      <c r="H38" s="1"/>
      <c r="I38" s="13">
        <f>SUM(I25)</f>
        <v>0</v>
      </c>
    </row>
    <row r="39" spans="1:9">
      <c r="A39" s="24"/>
      <c r="B39" s="1"/>
      <c r="C39" s="1"/>
      <c r="D39" s="1"/>
      <c r="E39" s="1"/>
      <c r="F39" s="1"/>
      <c r="G39" s="1"/>
      <c r="H39" s="1"/>
      <c r="I39" s="13"/>
    </row>
    <row r="40" spans="1:9">
      <c r="A40" s="24"/>
      <c r="B40" s="1"/>
      <c r="C40" s="1" t="s">
        <v>37</v>
      </c>
      <c r="D40" s="1"/>
      <c r="E40" s="1"/>
      <c r="F40" s="1"/>
      <c r="G40" s="1"/>
      <c r="H40" s="1"/>
      <c r="I40" s="13">
        <f>SUM(I35:I39)</f>
        <v>224</v>
      </c>
    </row>
    <row r="41" spans="1:9">
      <c r="A41" s="24"/>
      <c r="B41" s="1"/>
      <c r="C41" s="1"/>
      <c r="D41" s="1"/>
      <c r="E41" s="1"/>
      <c r="F41" s="1"/>
      <c r="G41" s="1"/>
      <c r="H41" s="1"/>
      <c r="I41" s="13"/>
    </row>
    <row r="42" spans="1:9">
      <c r="A42" s="24"/>
      <c r="B42" s="1"/>
      <c r="C42" s="1"/>
      <c r="D42" s="1"/>
      <c r="E42" s="1"/>
      <c r="F42" s="1"/>
      <c r="G42" s="1"/>
      <c r="H42" s="1"/>
      <c r="I42" s="12"/>
    </row>
    <row r="43" spans="1:9">
      <c r="A43" s="4" t="s">
        <v>4</v>
      </c>
      <c r="B43" s="5"/>
      <c r="C43" s="5"/>
      <c r="D43" s="6"/>
      <c r="E43" s="5" t="s">
        <v>38</v>
      </c>
      <c r="F43" s="5"/>
      <c r="G43" s="5"/>
      <c r="H43" s="5"/>
      <c r="I43" s="6"/>
    </row>
    <row r="44" spans="1:9">
      <c r="A44" s="7"/>
      <c r="B44" s="8"/>
      <c r="C44" s="8"/>
      <c r="D44" s="9"/>
      <c r="E44" s="8"/>
      <c r="F44" s="8"/>
      <c r="G44" s="8"/>
      <c r="H44" s="8"/>
      <c r="I44" s="9"/>
    </row>
    <row r="45" spans="1:9">
      <c r="A45" s="4" t="s">
        <v>39</v>
      </c>
      <c r="B45" s="5"/>
      <c r="C45" s="5"/>
      <c r="D45" s="6"/>
      <c r="E45" s="5" t="s">
        <v>40</v>
      </c>
      <c r="F45" s="5"/>
      <c r="G45" s="5"/>
      <c r="H45" s="5"/>
      <c r="I45" s="6"/>
    </row>
    <row r="46" spans="1:9">
      <c r="A46" s="7"/>
      <c r="B46" s="8"/>
      <c r="C46" s="8"/>
      <c r="D46" s="9"/>
      <c r="E46" s="8"/>
      <c r="F46" s="8"/>
      <c r="G46" s="8"/>
      <c r="H46" s="8"/>
      <c r="I46" s="9"/>
    </row>
    <row r="47" spans="1:9">
      <c r="A47" s="4" t="s">
        <v>41</v>
      </c>
      <c r="B47" s="5"/>
      <c r="C47" s="5"/>
      <c r="D47" s="6"/>
      <c r="E47" s="5" t="s">
        <v>40</v>
      </c>
      <c r="F47" s="5"/>
      <c r="G47" s="5"/>
      <c r="H47" s="5"/>
      <c r="I47" s="6"/>
    </row>
    <row r="48" spans="1:9">
      <c r="A48" s="7"/>
      <c r="B48" s="8"/>
      <c r="C48" s="8"/>
      <c r="D48" s="9"/>
      <c r="E48" s="8"/>
      <c r="F48" s="8"/>
      <c r="G48" s="8"/>
      <c r="H48" s="8"/>
      <c r="I48" s="9"/>
    </row>
    <row r="49" spans="1:238">
      <c r="A49" s="21"/>
      <c r="I49" s="21"/>
      <c r="J49" s="21"/>
    </row>
    <row r="50" spans="1:238">
      <c r="A50" s="65" t="s">
        <v>42</v>
      </c>
      <c r="B50" s="65"/>
      <c r="C50" s="65"/>
      <c r="D50" s="65"/>
      <c r="E50" s="65"/>
      <c r="F50" s="65"/>
      <c r="G50" s="65"/>
      <c r="H50" s="65"/>
      <c r="I50" s="65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</row>
    <row r="51" spans="1:238">
      <c r="A51" s="65" t="s">
        <v>43</v>
      </c>
      <c r="B51" s="65"/>
      <c r="C51" s="65"/>
      <c r="D51" s="65"/>
      <c r="E51" s="65" t="s">
        <v>44</v>
      </c>
      <c r="F51" s="65"/>
      <c r="G51" s="65"/>
      <c r="H51" s="66"/>
      <c r="I51" s="65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</row>
    <row r="52" spans="1:238">
      <c r="A52" s="65" t="s">
        <v>45</v>
      </c>
      <c r="B52" s="65"/>
      <c r="C52" s="65"/>
      <c r="D52" s="65"/>
      <c r="E52" s="65" t="s">
        <v>46</v>
      </c>
      <c r="F52" s="65"/>
      <c r="G52" s="65"/>
      <c r="H52" s="66"/>
      <c r="I52" s="65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</row>
    <row r="53" spans="1:238">
      <c r="A53" s="65" t="s">
        <v>47</v>
      </c>
      <c r="B53" s="65"/>
      <c r="C53" s="65"/>
      <c r="D53" s="65"/>
      <c r="E53" s="65" t="s">
        <v>48</v>
      </c>
      <c r="F53" s="65"/>
      <c r="G53" s="65"/>
      <c r="H53" s="66"/>
      <c r="I53" s="65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</row>
    <row r="54" spans="1:238">
      <c r="A54" s="21"/>
      <c r="B54" s="21"/>
      <c r="C54" s="21"/>
      <c r="D54" s="21"/>
      <c r="E54" s="21"/>
      <c r="F54" s="21"/>
      <c r="G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</row>
    <row r="55" spans="1:238">
      <c r="A55" s="21"/>
      <c r="B55" s="21"/>
      <c r="C55" s="21"/>
      <c r="D55" s="21"/>
      <c r="E55" s="21"/>
      <c r="F55" s="21"/>
      <c r="G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</row>
    <row r="56" spans="1:238">
      <c r="A56" s="21"/>
      <c r="B56" s="21"/>
      <c r="C56" s="21"/>
      <c r="D56" s="21"/>
      <c r="E56" s="21"/>
      <c r="F56" s="21"/>
      <c r="G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</row>
    <row r="57" spans="1:238">
      <c r="A57" s="21"/>
      <c r="B57" s="21"/>
      <c r="C57" s="21"/>
      <c r="D57" s="21"/>
      <c r="E57" s="21"/>
      <c r="F57" s="21"/>
      <c r="G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</row>
    <row r="58" spans="1:238">
      <c r="A58" s="21"/>
      <c r="B58" s="21"/>
      <c r="C58" s="21"/>
      <c r="D58" s="21"/>
      <c r="E58" s="21"/>
      <c r="F58" s="21"/>
      <c r="G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</row>
    <row r="59" spans="1:238">
      <c r="A59" s="21"/>
      <c r="B59" s="21"/>
      <c r="C59" s="21"/>
      <c r="D59" s="21"/>
      <c r="E59" s="21"/>
      <c r="F59" s="21"/>
      <c r="G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</row>
    <row r="60" spans="1:238">
      <c r="A60" s="21"/>
      <c r="B60" s="21"/>
      <c r="C60" s="21"/>
      <c r="D60" s="21"/>
      <c r="E60" s="21"/>
      <c r="F60" s="21"/>
      <c r="G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</row>
    <row r="61" spans="1:238">
      <c r="A61" s="21"/>
      <c r="B61" s="21"/>
      <c r="C61" s="21"/>
      <c r="D61" s="21"/>
      <c r="E61" s="21"/>
      <c r="F61" s="21"/>
      <c r="G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</row>
    <row r="62" spans="1:238">
      <c r="A62" s="21"/>
      <c r="B62" s="21"/>
      <c r="C62" s="21"/>
      <c r="D62" s="21"/>
      <c r="E62" s="21"/>
      <c r="F62" s="21"/>
      <c r="G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</row>
    <row r="63" spans="1:238">
      <c r="A63" s="21"/>
      <c r="B63" s="21"/>
      <c r="C63" s="21"/>
      <c r="D63" s="21"/>
      <c r="E63" s="21"/>
      <c r="F63" s="21"/>
      <c r="G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</row>
    <row r="64" spans="1:238">
      <c r="A64" s="21"/>
      <c r="B64" s="21"/>
      <c r="C64" s="21"/>
      <c r="D64" s="21"/>
      <c r="E64" s="21"/>
      <c r="F64" s="21"/>
      <c r="G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</row>
    <row r="65" spans="1:238">
      <c r="A65" s="21"/>
      <c r="B65" s="21"/>
      <c r="C65" s="21"/>
      <c r="D65" s="21"/>
      <c r="E65" s="21"/>
      <c r="F65" s="21"/>
      <c r="G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</row>
    <row r="66" spans="1:238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</row>
    <row r="67" spans="1:238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</row>
    <row r="68" spans="1:23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</row>
    <row r="69" spans="1:238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</row>
    <row r="70" spans="1:238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</row>
    <row r="71" spans="1:238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</row>
    <row r="72" spans="1:238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</row>
    <row r="73" spans="1:238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</row>
    <row r="74" spans="1:238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</row>
    <row r="75" spans="1:238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</row>
    <row r="76" spans="1:238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</row>
    <row r="77" spans="1:238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</row>
    <row r="78" spans="1:23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</row>
    <row r="79" spans="1:238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</row>
    <row r="80" spans="1:238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</row>
    <row r="81" spans="1:238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</row>
    <row r="82" spans="1:238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</row>
    <row r="83" spans="1:238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</row>
    <row r="84" spans="1:238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</row>
    <row r="85" spans="1:238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</row>
    <row r="86" spans="1:238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</row>
    <row r="87" spans="1:238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</row>
    <row r="88" spans="1:23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</row>
    <row r="89" spans="1:238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</row>
    <row r="90" spans="1:238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</row>
    <row r="91" spans="1:238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</row>
    <row r="92" spans="1:238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</row>
    <row r="93" spans="1:238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</row>
    <row r="94" spans="1:238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</row>
    <row r="95" spans="1:238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</row>
    <row r="96" spans="1:238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</row>
    <row r="97" spans="1:238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</row>
    <row r="98" spans="1:23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</row>
    <row r="99" spans="1:238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</row>
    <row r="100" spans="1:238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</row>
    <row r="101" spans="1:238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</row>
    <row r="102" spans="1:238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</row>
    <row r="103" spans="1:238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</row>
    <row r="104" spans="1:238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</row>
    <row r="105" spans="1:238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</row>
    <row r="106" spans="1:238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</row>
    <row r="107" spans="1:238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</row>
    <row r="108" spans="1:23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</row>
    <row r="109" spans="1:238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</row>
    <row r="110" spans="1:238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</row>
    <row r="111" spans="1:238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</row>
    <row r="112" spans="1:238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</row>
    <row r="113" spans="1:238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</row>
    <row r="114" spans="1:238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</row>
    <row r="115" spans="1:238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</row>
    <row r="116" spans="1:238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</row>
    <row r="117" spans="1:238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</row>
    <row r="118" spans="1:23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</row>
    <row r="119" spans="1:238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</row>
    <row r="120" spans="1:238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</row>
    <row r="121" spans="1:238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</row>
    <row r="122" spans="1:238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</row>
    <row r="123" spans="1:238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</row>
    <row r="124" spans="1:238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</row>
    <row r="125" spans="1:238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</row>
    <row r="126" spans="1:238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</row>
    <row r="127" spans="1:238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</row>
    <row r="128" spans="1:23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</row>
    <row r="129" spans="1:238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</row>
    <row r="130" spans="1:238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</row>
    <row r="131" spans="1:238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</row>
    <row r="132" spans="1:238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</row>
    <row r="133" spans="1:238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</row>
    <row r="134" spans="1:238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</row>
    <row r="135" spans="1:238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</row>
    <row r="136" spans="1:238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</row>
    <row r="137" spans="1:238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</row>
    <row r="138" spans="1:2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</row>
    <row r="139" spans="1:238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</row>
    <row r="140" spans="1:238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</row>
    <row r="141" spans="1:238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</row>
    <row r="142" spans="1:238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</row>
    <row r="143" spans="1:238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</row>
    <row r="144" spans="1:238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</row>
    <row r="145" spans="1:238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</row>
    <row r="146" spans="1:238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</row>
    <row r="147" spans="1:238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</row>
    <row r="148" spans="1:23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</row>
    <row r="149" spans="1:238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</row>
    <row r="150" spans="1:238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</row>
    <row r="151" spans="1:238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</row>
    <row r="152" spans="1:238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</row>
    <row r="153" spans="1:238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</row>
    <row r="154" spans="1:238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</row>
    <row r="155" spans="1:238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</row>
    <row r="156" spans="1:238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</row>
    <row r="157" spans="1:238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</row>
    <row r="158" spans="1:23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</row>
    <row r="159" spans="1:238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</row>
    <row r="160" spans="1:238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</row>
    <row r="161" spans="1:238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</row>
    <row r="162" spans="1:238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</row>
    <row r="163" spans="1:238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</row>
    <row r="164" spans="1:238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</row>
    <row r="165" spans="1:238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</row>
    <row r="166" spans="1:238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</row>
    <row r="167" spans="1:238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</row>
    <row r="168" spans="1:23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</row>
    <row r="169" spans="1:238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</row>
    <row r="170" spans="1:238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</row>
    <row r="171" spans="1:238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</row>
    <row r="172" spans="1:238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</row>
    <row r="173" spans="1:238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</row>
    <row r="174" spans="1:238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</row>
    <row r="175" spans="1:238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</row>
    <row r="176" spans="1:238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</row>
    <row r="177" spans="1:238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</row>
    <row r="178" spans="1:23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</row>
    <row r="179" spans="1:238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</row>
    <row r="180" spans="1:238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</row>
    <row r="181" spans="1:238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</row>
    <row r="182" spans="1:238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</row>
    <row r="183" spans="1:238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</row>
    <row r="184" spans="1:238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</row>
    <row r="185" spans="1:238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</row>
    <row r="186" spans="1:238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</row>
    <row r="187" spans="1:238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</row>
    <row r="188" spans="1:23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</row>
    <row r="189" spans="1:238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</row>
    <row r="190" spans="1:238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</row>
    <row r="191" spans="1:238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</row>
    <row r="192" spans="1:238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</row>
    <row r="193" spans="1:238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</row>
    <row r="194" spans="1:238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</row>
    <row r="195" spans="1:238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</row>
    <row r="196" spans="1:238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</row>
    <row r="197" spans="1:238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</row>
    <row r="198" spans="1:23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</row>
    <row r="199" spans="1:238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</row>
    <row r="200" spans="1:238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</row>
    <row r="201" spans="1:238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</row>
    <row r="202" spans="1:238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</row>
    <row r="203" spans="1:238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</row>
    <row r="204" spans="1:238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</row>
    <row r="205" spans="1:238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</row>
    <row r="206" spans="1:238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</row>
    <row r="207" spans="1:238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</row>
    <row r="208" spans="1:23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</row>
    <row r="209" spans="1:238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</row>
    <row r="210" spans="1:238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</row>
    <row r="211" spans="1:238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</row>
    <row r="212" spans="1:238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</row>
    <row r="213" spans="1:238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</row>
    <row r="214" spans="1:238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</row>
    <row r="215" spans="1:238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</row>
    <row r="216" spans="1:238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</row>
    <row r="217" spans="1:238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</row>
    <row r="218" spans="1:23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</row>
    <row r="219" spans="1:238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</row>
    <row r="220" spans="1:238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</row>
    <row r="221" spans="1:238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</row>
    <row r="222" spans="1:238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</row>
    <row r="223" spans="1:238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</row>
    <row r="224" spans="1:238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</row>
    <row r="225" spans="1:238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</row>
    <row r="226" spans="1:238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</row>
    <row r="227" spans="1:238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</row>
    <row r="228" spans="1:23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</row>
    <row r="229" spans="1:238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</row>
    <row r="230" spans="1:238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</row>
    <row r="231" spans="1:238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</row>
    <row r="232" spans="1:238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</row>
    <row r="233" spans="1:238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</row>
    <row r="234" spans="1:238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</row>
    <row r="235" spans="1:238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</row>
    <row r="236" spans="1:238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</row>
    <row r="237" spans="1:238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</row>
    <row r="238" spans="1: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</row>
    <row r="239" spans="1:238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</row>
    <row r="240" spans="1:238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</row>
    <row r="241" spans="1:238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</row>
    <row r="242" spans="1:238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</row>
    <row r="243" spans="1:238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</row>
    <row r="244" spans="1:238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</row>
    <row r="245" spans="1:238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</row>
    <row r="246" spans="1:238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</row>
    <row r="247" spans="1:238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</row>
    <row r="248" spans="1:23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</row>
    <row r="249" spans="1:238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</row>
    <row r="250" spans="1:238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</row>
    <row r="251" spans="1:238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</row>
    <row r="252" spans="1:238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</row>
    <row r="253" spans="1:238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</row>
    <row r="254" spans="1:238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</row>
    <row r="255" spans="1:238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</row>
    <row r="256" spans="1:238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</row>
    <row r="257" spans="1:238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</row>
    <row r="258" spans="1:23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</row>
    <row r="259" spans="1:238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  <c r="GM259" s="21"/>
      <c r="GN259" s="21"/>
      <c r="GO259" s="21"/>
      <c r="GP259" s="21"/>
      <c r="GQ259" s="21"/>
      <c r="GR259" s="21"/>
      <c r="GS259" s="21"/>
      <c r="GT259" s="21"/>
      <c r="GU259" s="21"/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</row>
    <row r="260" spans="1:238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  <c r="GM260" s="21"/>
      <c r="GN260" s="21"/>
      <c r="GO260" s="21"/>
      <c r="GP260" s="21"/>
      <c r="GQ260" s="21"/>
      <c r="GR260" s="21"/>
      <c r="GS260" s="21"/>
      <c r="GT260" s="21"/>
      <c r="GU260" s="21"/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</row>
    <row r="261" spans="1:238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  <c r="GM261" s="21"/>
      <c r="GN261" s="21"/>
      <c r="GO261" s="21"/>
      <c r="GP261" s="21"/>
      <c r="GQ261" s="21"/>
      <c r="GR261" s="21"/>
      <c r="GS261" s="21"/>
      <c r="GT261" s="21"/>
      <c r="GU261" s="21"/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</row>
    <row r="262" spans="1:238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  <c r="GM262" s="21"/>
      <c r="GN262" s="21"/>
      <c r="GO262" s="21"/>
      <c r="GP262" s="21"/>
      <c r="GQ262" s="21"/>
      <c r="GR262" s="21"/>
      <c r="GS262" s="21"/>
      <c r="GT262" s="21"/>
      <c r="GU262" s="21"/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</row>
    <row r="263" spans="1:238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  <c r="GM263" s="21"/>
      <c r="GN263" s="21"/>
      <c r="GO263" s="21"/>
      <c r="GP263" s="21"/>
      <c r="GQ263" s="21"/>
      <c r="GR263" s="21"/>
      <c r="GS263" s="21"/>
      <c r="GT263" s="21"/>
      <c r="GU263" s="21"/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</row>
    <row r="264" spans="1:238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  <c r="GM264" s="21"/>
      <c r="GN264" s="21"/>
      <c r="GO264" s="21"/>
      <c r="GP264" s="21"/>
      <c r="GQ264" s="21"/>
      <c r="GR264" s="21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</row>
    <row r="265" spans="1:238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</row>
    <row r="266" spans="1:238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  <c r="GM266" s="21"/>
      <c r="GN266" s="21"/>
      <c r="GO266" s="21"/>
      <c r="GP266" s="21"/>
      <c r="GQ266" s="21"/>
      <c r="GR266" s="21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</row>
    <row r="267" spans="1:238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</row>
    <row r="268" spans="1:23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  <c r="GM268" s="21"/>
      <c r="GN268" s="21"/>
      <c r="GO268" s="21"/>
      <c r="GP268" s="21"/>
      <c r="GQ268" s="21"/>
      <c r="GR268" s="21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</row>
    <row r="269" spans="1:238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  <c r="GM269" s="21"/>
      <c r="GN269" s="21"/>
      <c r="GO269" s="21"/>
      <c r="GP269" s="21"/>
      <c r="GQ269" s="21"/>
      <c r="GR269" s="21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</row>
    <row r="270" spans="1:238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  <c r="GM270" s="21"/>
      <c r="GN270" s="21"/>
      <c r="GO270" s="21"/>
      <c r="GP270" s="21"/>
      <c r="GQ270" s="21"/>
      <c r="GR270" s="21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</row>
    <row r="271" spans="1:238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  <c r="GM271" s="21"/>
      <c r="GN271" s="21"/>
      <c r="GO271" s="21"/>
      <c r="GP271" s="21"/>
      <c r="GQ271" s="21"/>
      <c r="GR271" s="21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</row>
    <row r="272" spans="1:238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  <c r="GM272" s="21"/>
      <c r="GN272" s="21"/>
      <c r="GO272" s="21"/>
      <c r="GP272" s="21"/>
      <c r="GQ272" s="21"/>
      <c r="GR272" s="21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</row>
    <row r="273" spans="1:238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  <c r="GM273" s="21"/>
      <c r="GN273" s="21"/>
      <c r="GO273" s="21"/>
      <c r="GP273" s="21"/>
      <c r="GQ273" s="21"/>
      <c r="GR273" s="21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</row>
    <row r="274" spans="1:238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1"/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</row>
    <row r="275" spans="1:238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  <c r="GM275" s="21"/>
      <c r="GN275" s="21"/>
      <c r="GO275" s="21"/>
      <c r="GP275" s="21"/>
      <c r="GQ275" s="21"/>
      <c r="GR275" s="21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</row>
    <row r="276" spans="1:238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  <c r="GM276" s="21"/>
      <c r="GN276" s="21"/>
      <c r="GO276" s="21"/>
      <c r="GP276" s="21"/>
      <c r="GQ276" s="21"/>
      <c r="GR276" s="21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</row>
    <row r="277" spans="1:238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  <c r="GM277" s="21"/>
      <c r="GN277" s="21"/>
      <c r="GO277" s="21"/>
      <c r="GP277" s="21"/>
      <c r="GQ277" s="21"/>
      <c r="GR277" s="21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</row>
    <row r="278" spans="1:23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  <c r="GM278" s="21"/>
      <c r="GN278" s="21"/>
      <c r="GO278" s="21"/>
      <c r="GP278" s="21"/>
      <c r="GQ278" s="21"/>
      <c r="GR278" s="21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</row>
    <row r="279" spans="1:238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  <c r="GM279" s="21"/>
      <c r="GN279" s="21"/>
      <c r="GO279" s="21"/>
      <c r="GP279" s="21"/>
      <c r="GQ279" s="21"/>
      <c r="GR279" s="21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</row>
    <row r="280" spans="1:238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  <c r="GM280" s="21"/>
      <c r="GN280" s="21"/>
      <c r="GO280" s="21"/>
      <c r="GP280" s="21"/>
      <c r="GQ280" s="21"/>
      <c r="GR280" s="21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</row>
    <row r="281" spans="1:238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  <c r="GM281" s="21"/>
      <c r="GN281" s="21"/>
      <c r="GO281" s="21"/>
      <c r="GP281" s="21"/>
      <c r="GQ281" s="21"/>
      <c r="GR281" s="21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</row>
    <row r="282" spans="1:238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  <c r="GM282" s="21"/>
      <c r="GN282" s="21"/>
      <c r="GO282" s="21"/>
      <c r="GP282" s="21"/>
      <c r="GQ282" s="21"/>
      <c r="GR282" s="21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</row>
    <row r="283" spans="1:238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  <c r="GM283" s="21"/>
      <c r="GN283" s="21"/>
      <c r="GO283" s="21"/>
      <c r="GP283" s="21"/>
      <c r="GQ283" s="21"/>
      <c r="GR283" s="21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</row>
    <row r="284" spans="1:238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  <c r="GJ284" s="21"/>
      <c r="GK284" s="21"/>
      <c r="GL284" s="21"/>
      <c r="GM284" s="21"/>
      <c r="GN284" s="21"/>
      <c r="GO284" s="21"/>
      <c r="GP284" s="21"/>
      <c r="GQ284" s="21"/>
      <c r="GR284" s="21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</row>
    <row r="285" spans="1:238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  <c r="GJ285" s="21"/>
      <c r="GK285" s="21"/>
      <c r="GL285" s="21"/>
      <c r="GM285" s="21"/>
      <c r="GN285" s="21"/>
      <c r="GO285" s="21"/>
      <c r="GP285" s="21"/>
      <c r="GQ285" s="21"/>
      <c r="GR285" s="21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</row>
    <row r="286" spans="1:238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  <c r="GJ286" s="21"/>
      <c r="GK286" s="21"/>
      <c r="GL286" s="21"/>
      <c r="GM286" s="21"/>
      <c r="GN286" s="21"/>
      <c r="GO286" s="21"/>
      <c r="GP286" s="21"/>
      <c r="GQ286" s="21"/>
      <c r="GR286" s="21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</row>
    <row r="287" spans="1:238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  <c r="GM287" s="21"/>
      <c r="GN287" s="21"/>
      <c r="GO287" s="21"/>
      <c r="GP287" s="21"/>
      <c r="GQ287" s="21"/>
      <c r="GR287" s="21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</row>
    <row r="288" spans="1:23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  <c r="GM288" s="21"/>
      <c r="GN288" s="21"/>
      <c r="GO288" s="21"/>
      <c r="GP288" s="21"/>
      <c r="GQ288" s="21"/>
      <c r="GR288" s="21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</row>
    <row r="289" spans="1:238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  <c r="GM289" s="21"/>
      <c r="GN289" s="21"/>
      <c r="GO289" s="21"/>
      <c r="GP289" s="21"/>
      <c r="GQ289" s="21"/>
      <c r="GR289" s="21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</row>
    <row r="290" spans="1:238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  <c r="GM290" s="21"/>
      <c r="GN290" s="21"/>
      <c r="GO290" s="21"/>
      <c r="GP290" s="21"/>
      <c r="GQ290" s="21"/>
      <c r="GR290" s="21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</row>
    <row r="291" spans="1:238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  <c r="GM291" s="21"/>
      <c r="GN291" s="21"/>
      <c r="GO291" s="21"/>
      <c r="GP291" s="21"/>
      <c r="GQ291" s="21"/>
      <c r="GR291" s="21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</row>
    <row r="292" spans="1:238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  <c r="GM292" s="21"/>
      <c r="GN292" s="21"/>
      <c r="GO292" s="21"/>
      <c r="GP292" s="21"/>
      <c r="GQ292" s="21"/>
      <c r="GR292" s="21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</row>
    <row r="293" spans="1:238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  <c r="GM293" s="21"/>
      <c r="GN293" s="21"/>
      <c r="GO293" s="21"/>
      <c r="GP293" s="21"/>
      <c r="GQ293" s="21"/>
      <c r="GR293" s="21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</row>
    <row r="294" spans="1:238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  <c r="GJ294" s="21"/>
      <c r="GK294" s="21"/>
      <c r="GL294" s="21"/>
      <c r="GM294" s="21"/>
      <c r="GN294" s="21"/>
      <c r="GO294" s="21"/>
      <c r="GP294" s="21"/>
      <c r="GQ294" s="21"/>
      <c r="GR294" s="21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</row>
    <row r="295" spans="1:238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  <c r="GJ295" s="21"/>
      <c r="GK295" s="21"/>
      <c r="GL295" s="21"/>
      <c r="GM295" s="21"/>
      <c r="GN295" s="21"/>
      <c r="GO295" s="21"/>
      <c r="GP295" s="21"/>
      <c r="GQ295" s="21"/>
      <c r="GR295" s="21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</row>
    <row r="296" spans="1:238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  <c r="GJ296" s="21"/>
      <c r="GK296" s="21"/>
      <c r="GL296" s="21"/>
      <c r="GM296" s="21"/>
      <c r="GN296" s="21"/>
      <c r="GO296" s="21"/>
      <c r="GP296" s="21"/>
      <c r="GQ296" s="21"/>
      <c r="GR296" s="21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</row>
    <row r="297" spans="1:238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  <c r="GJ297" s="21"/>
      <c r="GK297" s="21"/>
      <c r="GL297" s="21"/>
      <c r="GM297" s="21"/>
      <c r="GN297" s="21"/>
      <c r="GO297" s="21"/>
      <c r="GP297" s="21"/>
      <c r="GQ297" s="21"/>
      <c r="GR297" s="21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</row>
    <row r="298" spans="1:23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  <c r="GJ298" s="21"/>
      <c r="GK298" s="21"/>
      <c r="GL298" s="21"/>
      <c r="GM298" s="21"/>
      <c r="GN298" s="21"/>
      <c r="GO298" s="21"/>
      <c r="GP298" s="21"/>
      <c r="GQ298" s="21"/>
      <c r="GR298" s="21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</row>
    <row r="299" spans="1:238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  <c r="GJ299" s="21"/>
      <c r="GK299" s="21"/>
      <c r="GL299" s="21"/>
      <c r="GM299" s="21"/>
      <c r="GN299" s="21"/>
      <c r="GO299" s="21"/>
      <c r="GP299" s="21"/>
      <c r="GQ299" s="21"/>
      <c r="GR299" s="21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</row>
    <row r="300" spans="1:238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  <c r="GJ300" s="21"/>
      <c r="GK300" s="21"/>
      <c r="GL300" s="21"/>
      <c r="GM300" s="21"/>
      <c r="GN300" s="21"/>
      <c r="GO300" s="21"/>
      <c r="GP300" s="21"/>
      <c r="GQ300" s="21"/>
      <c r="GR300" s="21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</row>
    <row r="301" spans="1:238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  <c r="GJ301" s="21"/>
      <c r="GK301" s="21"/>
      <c r="GL301" s="21"/>
      <c r="GM301" s="21"/>
      <c r="GN301" s="21"/>
      <c r="GO301" s="21"/>
      <c r="GP301" s="21"/>
      <c r="GQ301" s="21"/>
      <c r="GR301" s="21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</row>
    <row r="302" spans="1:238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/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</row>
    <row r="303" spans="1:238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  <c r="GJ303" s="21"/>
      <c r="GK303" s="21"/>
      <c r="GL303" s="21"/>
      <c r="GM303" s="21"/>
      <c r="GN303" s="21"/>
      <c r="GO303" s="21"/>
      <c r="GP303" s="21"/>
      <c r="GQ303" s="21"/>
      <c r="GR303" s="21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</row>
    <row r="304" spans="1:238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/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  <c r="GJ304" s="21"/>
      <c r="GK304" s="21"/>
      <c r="GL304" s="21"/>
      <c r="GM304" s="21"/>
      <c r="GN304" s="21"/>
      <c r="GO304" s="21"/>
      <c r="GP304" s="21"/>
      <c r="GQ304" s="21"/>
      <c r="GR304" s="21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</row>
    <row r="305" spans="1:238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  <c r="GJ305" s="21"/>
      <c r="GK305" s="21"/>
      <c r="GL305" s="21"/>
      <c r="GM305" s="21"/>
      <c r="GN305" s="21"/>
      <c r="GO305" s="21"/>
      <c r="GP305" s="21"/>
      <c r="GQ305" s="21"/>
      <c r="GR305" s="21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</row>
    <row r="306" spans="1:238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  <c r="GJ306" s="21"/>
      <c r="GK306" s="21"/>
      <c r="GL306" s="21"/>
      <c r="GM306" s="21"/>
      <c r="GN306" s="21"/>
      <c r="GO306" s="21"/>
      <c r="GP306" s="21"/>
      <c r="GQ306" s="21"/>
      <c r="GR306" s="21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</row>
    <row r="307" spans="1:238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  <c r="GJ307" s="21"/>
      <c r="GK307" s="21"/>
      <c r="GL307" s="21"/>
      <c r="GM307" s="21"/>
      <c r="GN307" s="21"/>
      <c r="GO307" s="21"/>
      <c r="GP307" s="21"/>
      <c r="GQ307" s="21"/>
      <c r="GR307" s="21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</row>
    <row r="308" spans="1:23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</row>
    <row r="309" spans="1:238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</row>
    <row r="310" spans="1:238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</row>
    <row r="311" spans="1:238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</row>
    <row r="312" spans="1:238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</row>
    <row r="313" spans="1:238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</row>
    <row r="314" spans="1:238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</row>
    <row r="315" spans="1:238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</row>
    <row r="316" spans="1:238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</row>
    <row r="317" spans="1:238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</row>
    <row r="318" spans="1:23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</row>
    <row r="319" spans="1:238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</row>
    <row r="320" spans="1:238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</row>
    <row r="321" spans="1:238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</row>
    <row r="322" spans="1:238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</row>
    <row r="323" spans="1:238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</row>
    <row r="324" spans="1:238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</row>
    <row r="325" spans="1:238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</row>
    <row r="326" spans="1:238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</row>
    <row r="327" spans="1:238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</row>
    <row r="328" spans="1:23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</row>
    <row r="329" spans="1:238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</row>
    <row r="330" spans="1:238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</row>
    <row r="331" spans="1:238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</row>
    <row r="332" spans="1:238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</row>
    <row r="333" spans="1:238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</row>
    <row r="334" spans="1:238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</row>
    <row r="335" spans="1:238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</row>
    <row r="336" spans="1:238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</row>
    <row r="337" spans="1:238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</row>
    <row r="338" spans="1:2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</row>
    <row r="339" spans="1:238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</row>
    <row r="340" spans="1:238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</row>
    <row r="341" spans="1:238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</row>
    <row r="342" spans="1:238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</row>
    <row r="343" spans="1:238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</row>
    <row r="344" spans="1:238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</row>
    <row r="345" spans="1:238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</row>
    <row r="346" spans="1:238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</row>
    <row r="347" spans="1:238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</row>
    <row r="348" spans="1:23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</row>
    <row r="349" spans="1:238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</row>
    <row r="350" spans="1:238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</row>
    <row r="351" spans="1:238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</row>
    <row r="352" spans="1:238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</row>
    <row r="353" spans="1:238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</row>
    <row r="354" spans="1:238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</row>
    <row r="355" spans="1:238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</row>
    <row r="356" spans="1:238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</row>
    <row r="357" spans="1:238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</row>
    <row r="358" spans="1:23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</row>
    <row r="359" spans="1:238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</row>
    <row r="360" spans="1:238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</row>
    <row r="361" spans="1:238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</row>
    <row r="362" spans="1:238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</row>
    <row r="363" spans="1:238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</row>
    <row r="364" spans="1:238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</row>
    <row r="365" spans="1:238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</row>
    <row r="366" spans="1:238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</row>
    <row r="367" spans="1:238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</row>
    <row r="368" spans="1:23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</row>
    <row r="369" spans="1:238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</row>
    <row r="370" spans="1:238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</row>
    <row r="371" spans="1:238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</row>
    <row r="372" spans="1:238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</row>
    <row r="373" spans="1:238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</row>
    <row r="374" spans="1:238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</row>
    <row r="375" spans="1:238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</row>
    <row r="376" spans="1:238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</row>
    <row r="377" spans="1:238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</row>
    <row r="378" spans="1:23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</row>
    <row r="379" spans="1:238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</row>
    <row r="380" spans="1:238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</row>
    <row r="381" spans="1:238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</row>
    <row r="382" spans="1:238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</row>
    <row r="383" spans="1:238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</row>
    <row r="384" spans="1:238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</row>
    <row r="385" spans="1:238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</row>
    <row r="386" spans="1:238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</row>
    <row r="387" spans="1:238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</row>
    <row r="388" spans="1:23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</row>
    <row r="389" spans="1:238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</row>
    <row r="390" spans="1:238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</row>
    <row r="391" spans="1:238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</row>
    <row r="392" spans="1:238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</row>
    <row r="393" spans="1:238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</row>
    <row r="394" spans="1:238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</row>
    <row r="395" spans="1:238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</row>
    <row r="396" spans="1:238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</row>
    <row r="397" spans="1:238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</row>
    <row r="398" spans="1:23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</row>
    <row r="399" spans="1:238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</row>
    <row r="400" spans="1:238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</row>
    <row r="401" spans="1:238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  <c r="ID401" s="21"/>
    </row>
    <row r="402" spans="1:238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  <c r="ID402" s="21"/>
    </row>
    <row r="403" spans="1:238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  <c r="ID403" s="21"/>
    </row>
    <row r="404" spans="1:238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  <c r="ID404" s="21"/>
    </row>
    <row r="405" spans="1:238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1"/>
      <c r="EM405" s="21"/>
      <c r="EN405" s="21"/>
      <c r="EO405" s="21"/>
      <c r="EP405" s="21"/>
      <c r="EQ405" s="21"/>
      <c r="ER405" s="21"/>
      <c r="ES405" s="21"/>
      <c r="ET405" s="21"/>
      <c r="EU405" s="21"/>
      <c r="EV405" s="21"/>
      <c r="EW405" s="21"/>
      <c r="EX405" s="21"/>
      <c r="EY405" s="21"/>
      <c r="EZ405" s="21"/>
      <c r="FA405" s="21"/>
      <c r="FB405" s="21"/>
      <c r="FC405" s="21"/>
      <c r="FD405" s="21"/>
      <c r="FE405" s="21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21"/>
      <c r="FW405" s="21"/>
      <c r="FX405" s="21"/>
      <c r="FY405" s="21"/>
      <c r="FZ405" s="21"/>
      <c r="GA405" s="21"/>
      <c r="GB405" s="21"/>
      <c r="GC405" s="21"/>
      <c r="GD405" s="21"/>
      <c r="GE405" s="21"/>
      <c r="GF405" s="21"/>
      <c r="GG405" s="21"/>
      <c r="GH405" s="21"/>
      <c r="GI405" s="21"/>
      <c r="GJ405" s="21"/>
      <c r="GK405" s="21"/>
      <c r="GL405" s="21"/>
      <c r="GM405" s="21"/>
      <c r="GN405" s="21"/>
      <c r="GO405" s="21"/>
      <c r="GP405" s="21"/>
      <c r="GQ405" s="21"/>
      <c r="GR405" s="21"/>
      <c r="GS405" s="21"/>
      <c r="GT405" s="21"/>
      <c r="GU405" s="21"/>
      <c r="GV405" s="21"/>
      <c r="GW405" s="21"/>
      <c r="GX405" s="21"/>
      <c r="GY405" s="21"/>
      <c r="GZ405" s="21"/>
      <c r="HA405" s="21"/>
      <c r="HB405" s="21"/>
      <c r="HC405" s="21"/>
      <c r="HD405" s="21"/>
      <c r="HE405" s="21"/>
      <c r="HF405" s="21"/>
      <c r="HG405" s="21"/>
      <c r="HH405" s="21"/>
      <c r="HI405" s="21"/>
      <c r="HJ405" s="21"/>
      <c r="HK405" s="21"/>
      <c r="HL405" s="21"/>
      <c r="HM405" s="21"/>
      <c r="HN405" s="21"/>
      <c r="HO405" s="21"/>
      <c r="HP405" s="21"/>
      <c r="HQ405" s="21"/>
      <c r="HR405" s="21"/>
      <c r="HS405" s="21"/>
      <c r="HT405" s="21"/>
      <c r="HU405" s="21"/>
      <c r="HV405" s="21"/>
      <c r="HW405" s="21"/>
      <c r="HX405" s="21"/>
      <c r="HY405" s="21"/>
      <c r="HZ405" s="21"/>
      <c r="IA405" s="21"/>
      <c r="IB405" s="21"/>
      <c r="IC405" s="21"/>
      <c r="ID405" s="21"/>
    </row>
    <row r="406" spans="1:238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1"/>
      <c r="EM406" s="21"/>
      <c r="EN406" s="21"/>
      <c r="EO406" s="21"/>
      <c r="EP406" s="21"/>
      <c r="EQ406" s="21"/>
      <c r="ER406" s="21"/>
      <c r="ES406" s="21"/>
      <c r="ET406" s="21"/>
      <c r="EU406" s="21"/>
      <c r="EV406" s="21"/>
      <c r="EW406" s="21"/>
      <c r="EX406" s="21"/>
      <c r="EY406" s="21"/>
      <c r="EZ406" s="21"/>
      <c r="FA406" s="21"/>
      <c r="FB406" s="21"/>
      <c r="FC406" s="21"/>
      <c r="FD406" s="21"/>
      <c r="FE406" s="21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21"/>
      <c r="FW406" s="21"/>
      <c r="FX406" s="21"/>
      <c r="FY406" s="21"/>
      <c r="FZ406" s="21"/>
      <c r="GA406" s="21"/>
      <c r="GB406" s="21"/>
      <c r="GC406" s="21"/>
      <c r="GD406" s="21"/>
      <c r="GE406" s="21"/>
      <c r="GF406" s="21"/>
      <c r="GG406" s="21"/>
      <c r="GH406" s="21"/>
      <c r="GI406" s="21"/>
      <c r="GJ406" s="21"/>
      <c r="GK406" s="21"/>
      <c r="GL406" s="21"/>
      <c r="GM406" s="21"/>
      <c r="GN406" s="21"/>
      <c r="GO406" s="21"/>
      <c r="GP406" s="21"/>
      <c r="GQ406" s="21"/>
      <c r="GR406" s="21"/>
      <c r="GS406" s="21"/>
      <c r="GT406" s="21"/>
      <c r="GU406" s="21"/>
      <c r="GV406" s="21"/>
      <c r="GW406" s="21"/>
      <c r="GX406" s="21"/>
      <c r="GY406" s="21"/>
      <c r="GZ406" s="21"/>
      <c r="HA406" s="21"/>
      <c r="HB406" s="21"/>
      <c r="HC406" s="21"/>
      <c r="HD406" s="21"/>
      <c r="HE406" s="21"/>
      <c r="HF406" s="21"/>
      <c r="HG406" s="21"/>
      <c r="HH406" s="21"/>
      <c r="HI406" s="21"/>
      <c r="HJ406" s="21"/>
      <c r="HK406" s="21"/>
      <c r="HL406" s="21"/>
      <c r="HM406" s="21"/>
      <c r="HN406" s="21"/>
      <c r="HO406" s="21"/>
      <c r="HP406" s="21"/>
      <c r="HQ406" s="21"/>
      <c r="HR406" s="21"/>
      <c r="HS406" s="21"/>
      <c r="HT406" s="21"/>
      <c r="HU406" s="21"/>
      <c r="HV406" s="21"/>
      <c r="HW406" s="21"/>
      <c r="HX406" s="21"/>
      <c r="HY406" s="21"/>
      <c r="HZ406" s="21"/>
      <c r="IA406" s="21"/>
      <c r="IB406" s="21"/>
      <c r="IC406" s="21"/>
      <c r="ID406" s="21"/>
    </row>
    <row r="407" spans="1:238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/>
      <c r="EM407" s="21"/>
      <c r="EN407" s="21"/>
      <c r="EO407" s="21"/>
      <c r="EP407" s="21"/>
      <c r="EQ407" s="21"/>
      <c r="ER407" s="21"/>
      <c r="ES407" s="21"/>
      <c r="ET407" s="21"/>
      <c r="EU407" s="21"/>
      <c r="EV407" s="21"/>
      <c r="EW407" s="21"/>
      <c r="EX407" s="21"/>
      <c r="EY407" s="21"/>
      <c r="EZ407" s="21"/>
      <c r="FA407" s="21"/>
      <c r="FB407" s="21"/>
      <c r="FC407" s="21"/>
      <c r="FD407" s="21"/>
      <c r="FE407" s="21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  <c r="GJ407" s="21"/>
      <c r="GK407" s="21"/>
      <c r="GL407" s="21"/>
      <c r="GM407" s="21"/>
      <c r="GN407" s="21"/>
      <c r="GO407" s="21"/>
      <c r="GP407" s="21"/>
      <c r="GQ407" s="21"/>
      <c r="GR407" s="21"/>
      <c r="GS407" s="21"/>
      <c r="GT407" s="21"/>
      <c r="GU407" s="21"/>
      <c r="GV407" s="21"/>
      <c r="GW407" s="21"/>
      <c r="GX407" s="21"/>
      <c r="GY407" s="21"/>
      <c r="GZ407" s="21"/>
      <c r="HA407" s="21"/>
      <c r="HB407" s="21"/>
      <c r="HC407" s="21"/>
      <c r="HD407" s="21"/>
      <c r="HE407" s="21"/>
      <c r="HF407" s="21"/>
      <c r="HG407" s="21"/>
      <c r="HH407" s="21"/>
      <c r="HI407" s="21"/>
      <c r="HJ407" s="21"/>
      <c r="HK407" s="21"/>
      <c r="HL407" s="21"/>
      <c r="HM407" s="21"/>
      <c r="HN407" s="21"/>
      <c r="HO407" s="21"/>
      <c r="HP407" s="21"/>
      <c r="HQ407" s="21"/>
      <c r="HR407" s="21"/>
      <c r="HS407" s="21"/>
      <c r="HT407" s="21"/>
      <c r="HU407" s="21"/>
      <c r="HV407" s="21"/>
      <c r="HW407" s="21"/>
      <c r="HX407" s="21"/>
      <c r="HY407" s="21"/>
      <c r="HZ407" s="21"/>
      <c r="IA407" s="21"/>
      <c r="IB407" s="21"/>
      <c r="IC407" s="21"/>
      <c r="ID407" s="21"/>
    </row>
    <row r="408" spans="1:23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1"/>
      <c r="EM408" s="21"/>
      <c r="EN408" s="21"/>
      <c r="EO408" s="21"/>
      <c r="EP408" s="21"/>
      <c r="EQ408" s="21"/>
      <c r="ER408" s="21"/>
      <c r="ES408" s="21"/>
      <c r="ET408" s="21"/>
      <c r="EU408" s="21"/>
      <c r="EV408" s="21"/>
      <c r="EW408" s="21"/>
      <c r="EX408" s="21"/>
      <c r="EY408" s="21"/>
      <c r="EZ408" s="21"/>
      <c r="FA408" s="21"/>
      <c r="FB408" s="21"/>
      <c r="FC408" s="21"/>
      <c r="FD408" s="21"/>
      <c r="FE408" s="21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  <c r="GJ408" s="21"/>
      <c r="GK408" s="21"/>
      <c r="GL408" s="21"/>
      <c r="GM408" s="21"/>
      <c r="GN408" s="21"/>
      <c r="GO408" s="21"/>
      <c r="GP408" s="21"/>
      <c r="GQ408" s="21"/>
      <c r="GR408" s="21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21"/>
      <c r="HF408" s="21"/>
      <c r="HG408" s="21"/>
      <c r="HH408" s="21"/>
      <c r="HI408" s="21"/>
      <c r="HJ408" s="21"/>
      <c r="HK408" s="21"/>
      <c r="HL408" s="21"/>
      <c r="HM408" s="21"/>
      <c r="HN408" s="21"/>
      <c r="HO408" s="21"/>
      <c r="HP408" s="21"/>
      <c r="HQ408" s="21"/>
      <c r="HR408" s="21"/>
      <c r="HS408" s="21"/>
      <c r="HT408" s="21"/>
      <c r="HU408" s="21"/>
      <c r="HV408" s="21"/>
      <c r="HW408" s="21"/>
      <c r="HX408" s="21"/>
      <c r="HY408" s="21"/>
      <c r="HZ408" s="21"/>
      <c r="IA408" s="21"/>
      <c r="IB408" s="21"/>
      <c r="IC408" s="21"/>
      <c r="ID408" s="21"/>
    </row>
    <row r="409" spans="1:238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1"/>
      <c r="EM409" s="21"/>
      <c r="EN409" s="21"/>
      <c r="EO409" s="21"/>
      <c r="EP409" s="21"/>
      <c r="EQ409" s="21"/>
      <c r="ER409" s="21"/>
      <c r="ES409" s="21"/>
      <c r="ET409" s="21"/>
      <c r="EU409" s="21"/>
      <c r="EV409" s="21"/>
      <c r="EW409" s="21"/>
      <c r="EX409" s="21"/>
      <c r="EY409" s="21"/>
      <c r="EZ409" s="21"/>
      <c r="FA409" s="21"/>
      <c r="FB409" s="21"/>
      <c r="FC409" s="21"/>
      <c r="FD409" s="21"/>
      <c r="FE409" s="21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21"/>
      <c r="FW409" s="21"/>
      <c r="FX409" s="21"/>
      <c r="FY409" s="21"/>
      <c r="FZ409" s="21"/>
      <c r="GA409" s="21"/>
      <c r="GB409" s="21"/>
      <c r="GC409" s="21"/>
      <c r="GD409" s="21"/>
      <c r="GE409" s="21"/>
      <c r="GF409" s="21"/>
      <c r="GG409" s="21"/>
      <c r="GH409" s="21"/>
      <c r="GI409" s="21"/>
      <c r="GJ409" s="21"/>
      <c r="GK409" s="21"/>
      <c r="GL409" s="21"/>
      <c r="GM409" s="21"/>
      <c r="GN409" s="21"/>
      <c r="GO409" s="21"/>
      <c r="GP409" s="21"/>
      <c r="GQ409" s="21"/>
      <c r="GR409" s="21"/>
      <c r="GS409" s="21"/>
      <c r="GT409" s="21"/>
      <c r="GU409" s="21"/>
      <c r="GV409" s="21"/>
      <c r="GW409" s="21"/>
      <c r="GX409" s="21"/>
      <c r="GY409" s="21"/>
      <c r="GZ409" s="21"/>
      <c r="HA409" s="21"/>
      <c r="HB409" s="21"/>
      <c r="HC409" s="21"/>
      <c r="HD409" s="21"/>
      <c r="HE409" s="21"/>
      <c r="HF409" s="21"/>
      <c r="HG409" s="21"/>
      <c r="HH409" s="21"/>
      <c r="HI409" s="21"/>
      <c r="HJ409" s="21"/>
      <c r="HK409" s="21"/>
      <c r="HL409" s="21"/>
      <c r="HM409" s="21"/>
      <c r="HN409" s="21"/>
      <c r="HO409" s="21"/>
      <c r="HP409" s="21"/>
      <c r="HQ409" s="21"/>
      <c r="HR409" s="21"/>
      <c r="HS409" s="21"/>
      <c r="HT409" s="21"/>
      <c r="HU409" s="21"/>
      <c r="HV409" s="21"/>
      <c r="HW409" s="21"/>
      <c r="HX409" s="21"/>
      <c r="HY409" s="21"/>
      <c r="HZ409" s="21"/>
      <c r="IA409" s="21"/>
      <c r="IB409" s="21"/>
      <c r="IC409" s="21"/>
      <c r="ID409" s="21"/>
    </row>
    <row r="410" spans="1:238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1"/>
      <c r="EM410" s="21"/>
      <c r="EN410" s="21"/>
      <c r="EO410" s="21"/>
      <c r="EP410" s="21"/>
      <c r="EQ410" s="21"/>
      <c r="ER410" s="21"/>
      <c r="ES410" s="21"/>
      <c r="ET410" s="21"/>
      <c r="EU410" s="21"/>
      <c r="EV410" s="21"/>
      <c r="EW410" s="21"/>
      <c r="EX410" s="21"/>
      <c r="EY410" s="21"/>
      <c r="EZ410" s="21"/>
      <c r="FA410" s="21"/>
      <c r="FB410" s="21"/>
      <c r="FC410" s="21"/>
      <c r="FD410" s="21"/>
      <c r="FE410" s="21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21"/>
      <c r="FW410" s="21"/>
      <c r="FX410" s="21"/>
      <c r="FY410" s="21"/>
      <c r="FZ410" s="21"/>
      <c r="GA410" s="21"/>
      <c r="GB410" s="21"/>
      <c r="GC410" s="21"/>
      <c r="GD410" s="21"/>
      <c r="GE410" s="21"/>
      <c r="GF410" s="21"/>
      <c r="GG410" s="21"/>
      <c r="GH410" s="21"/>
      <c r="GI410" s="21"/>
      <c r="GJ410" s="21"/>
      <c r="GK410" s="21"/>
      <c r="GL410" s="21"/>
      <c r="GM410" s="21"/>
      <c r="GN410" s="21"/>
      <c r="GO410" s="21"/>
      <c r="GP410" s="21"/>
      <c r="GQ410" s="21"/>
      <c r="GR410" s="21"/>
      <c r="GS410" s="21"/>
      <c r="GT410" s="21"/>
      <c r="GU410" s="21"/>
      <c r="GV410" s="21"/>
      <c r="GW410" s="21"/>
      <c r="GX410" s="21"/>
      <c r="GY410" s="21"/>
      <c r="GZ410" s="21"/>
      <c r="HA410" s="21"/>
      <c r="HB410" s="21"/>
      <c r="HC410" s="21"/>
      <c r="HD410" s="21"/>
      <c r="HE410" s="21"/>
      <c r="HF410" s="21"/>
      <c r="HG410" s="21"/>
      <c r="HH410" s="21"/>
      <c r="HI410" s="21"/>
      <c r="HJ410" s="21"/>
      <c r="HK410" s="21"/>
      <c r="HL410" s="21"/>
      <c r="HM410" s="21"/>
      <c r="HN410" s="21"/>
      <c r="HO410" s="21"/>
      <c r="HP410" s="21"/>
      <c r="HQ410" s="21"/>
      <c r="HR410" s="21"/>
      <c r="HS410" s="21"/>
      <c r="HT410" s="21"/>
      <c r="HU410" s="21"/>
      <c r="HV410" s="21"/>
      <c r="HW410" s="21"/>
      <c r="HX410" s="21"/>
      <c r="HY410" s="21"/>
      <c r="HZ410" s="21"/>
      <c r="IA410" s="21"/>
      <c r="IB410" s="21"/>
      <c r="IC410" s="21"/>
      <c r="ID410" s="21"/>
    </row>
    <row r="411" spans="1:238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1"/>
      <c r="EM411" s="21"/>
      <c r="EN411" s="21"/>
      <c r="EO411" s="21"/>
      <c r="EP411" s="21"/>
      <c r="EQ411" s="21"/>
      <c r="ER411" s="21"/>
      <c r="ES411" s="21"/>
      <c r="ET411" s="21"/>
      <c r="EU411" s="21"/>
      <c r="EV411" s="21"/>
      <c r="EW411" s="21"/>
      <c r="EX411" s="21"/>
      <c r="EY411" s="21"/>
      <c r="EZ411" s="21"/>
      <c r="FA411" s="21"/>
      <c r="FB411" s="21"/>
      <c r="FC411" s="21"/>
      <c r="FD411" s="21"/>
      <c r="FE411" s="21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21"/>
      <c r="FW411" s="21"/>
      <c r="FX411" s="21"/>
      <c r="FY411" s="21"/>
      <c r="FZ411" s="21"/>
      <c r="GA411" s="21"/>
      <c r="GB411" s="21"/>
      <c r="GC411" s="21"/>
      <c r="GD411" s="21"/>
      <c r="GE411" s="21"/>
      <c r="GF411" s="21"/>
      <c r="GG411" s="21"/>
      <c r="GH411" s="21"/>
      <c r="GI411" s="21"/>
      <c r="GJ411" s="21"/>
      <c r="GK411" s="21"/>
      <c r="GL411" s="21"/>
      <c r="GM411" s="21"/>
      <c r="GN411" s="21"/>
      <c r="GO411" s="21"/>
      <c r="GP411" s="21"/>
      <c r="GQ411" s="21"/>
      <c r="GR411" s="21"/>
      <c r="GS411" s="21"/>
      <c r="GT411" s="21"/>
      <c r="GU411" s="21"/>
      <c r="GV411" s="21"/>
      <c r="GW411" s="21"/>
      <c r="GX411" s="21"/>
      <c r="GY411" s="21"/>
      <c r="GZ411" s="21"/>
      <c r="HA411" s="21"/>
      <c r="HB411" s="21"/>
      <c r="HC411" s="21"/>
      <c r="HD411" s="21"/>
      <c r="HE411" s="21"/>
      <c r="HF411" s="21"/>
      <c r="HG411" s="21"/>
      <c r="HH411" s="21"/>
      <c r="HI411" s="21"/>
      <c r="HJ411" s="21"/>
      <c r="HK411" s="21"/>
      <c r="HL411" s="21"/>
      <c r="HM411" s="21"/>
      <c r="HN411" s="21"/>
      <c r="HO411" s="21"/>
      <c r="HP411" s="21"/>
      <c r="HQ411" s="21"/>
      <c r="HR411" s="21"/>
      <c r="HS411" s="21"/>
      <c r="HT411" s="21"/>
      <c r="HU411" s="21"/>
      <c r="HV411" s="21"/>
      <c r="HW411" s="21"/>
      <c r="HX411" s="21"/>
      <c r="HY411" s="21"/>
      <c r="HZ411" s="21"/>
      <c r="IA411" s="21"/>
      <c r="IB411" s="21"/>
      <c r="IC411" s="21"/>
      <c r="ID411" s="21"/>
    </row>
    <row r="412" spans="1:238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1"/>
      <c r="EM412" s="21"/>
      <c r="EN412" s="21"/>
      <c r="EO412" s="21"/>
      <c r="EP412" s="21"/>
      <c r="EQ412" s="21"/>
      <c r="ER412" s="21"/>
      <c r="ES412" s="21"/>
      <c r="ET412" s="21"/>
      <c r="EU412" s="21"/>
      <c r="EV412" s="21"/>
      <c r="EW412" s="21"/>
      <c r="EX412" s="21"/>
      <c r="EY412" s="21"/>
      <c r="EZ412" s="21"/>
      <c r="FA412" s="21"/>
      <c r="FB412" s="21"/>
      <c r="FC412" s="21"/>
      <c r="FD412" s="21"/>
      <c r="FE412" s="21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21"/>
      <c r="FW412" s="21"/>
      <c r="FX412" s="21"/>
      <c r="FY412" s="21"/>
      <c r="FZ412" s="21"/>
      <c r="GA412" s="21"/>
      <c r="GB412" s="21"/>
      <c r="GC412" s="21"/>
      <c r="GD412" s="21"/>
      <c r="GE412" s="21"/>
      <c r="GF412" s="21"/>
      <c r="GG412" s="21"/>
      <c r="GH412" s="21"/>
      <c r="GI412" s="21"/>
      <c r="GJ412" s="21"/>
      <c r="GK412" s="21"/>
      <c r="GL412" s="21"/>
      <c r="GM412" s="21"/>
      <c r="GN412" s="21"/>
      <c r="GO412" s="21"/>
      <c r="GP412" s="21"/>
      <c r="GQ412" s="21"/>
      <c r="GR412" s="21"/>
      <c r="GS412" s="21"/>
      <c r="GT412" s="21"/>
      <c r="GU412" s="21"/>
      <c r="GV412" s="21"/>
      <c r="GW412" s="21"/>
      <c r="GX412" s="21"/>
      <c r="GY412" s="21"/>
      <c r="GZ412" s="21"/>
      <c r="HA412" s="21"/>
      <c r="HB412" s="21"/>
      <c r="HC412" s="21"/>
      <c r="HD412" s="21"/>
      <c r="HE412" s="21"/>
      <c r="HF412" s="21"/>
      <c r="HG412" s="21"/>
      <c r="HH412" s="21"/>
      <c r="HI412" s="21"/>
      <c r="HJ412" s="21"/>
      <c r="HK412" s="21"/>
      <c r="HL412" s="21"/>
      <c r="HM412" s="21"/>
      <c r="HN412" s="21"/>
      <c r="HO412" s="21"/>
      <c r="HP412" s="21"/>
      <c r="HQ412" s="21"/>
      <c r="HR412" s="21"/>
      <c r="HS412" s="21"/>
      <c r="HT412" s="21"/>
      <c r="HU412" s="21"/>
      <c r="HV412" s="21"/>
      <c r="HW412" s="21"/>
      <c r="HX412" s="21"/>
      <c r="HY412" s="21"/>
      <c r="HZ412" s="21"/>
      <c r="IA412" s="21"/>
      <c r="IB412" s="21"/>
      <c r="IC412" s="21"/>
      <c r="ID412" s="21"/>
    </row>
    <row r="413" spans="1:238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1"/>
      <c r="EM413" s="21"/>
      <c r="EN413" s="21"/>
      <c r="EO413" s="21"/>
      <c r="EP413" s="21"/>
      <c r="EQ413" s="21"/>
      <c r="ER413" s="21"/>
      <c r="ES413" s="21"/>
      <c r="ET413" s="21"/>
      <c r="EU413" s="21"/>
      <c r="EV413" s="21"/>
      <c r="EW413" s="21"/>
      <c r="EX413" s="21"/>
      <c r="EY413" s="21"/>
      <c r="EZ413" s="21"/>
      <c r="FA413" s="21"/>
      <c r="FB413" s="21"/>
      <c r="FC413" s="21"/>
      <c r="FD413" s="21"/>
      <c r="FE413" s="21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21"/>
      <c r="FW413" s="21"/>
      <c r="FX413" s="21"/>
      <c r="FY413" s="21"/>
      <c r="FZ413" s="21"/>
      <c r="GA413" s="21"/>
      <c r="GB413" s="21"/>
      <c r="GC413" s="21"/>
      <c r="GD413" s="21"/>
      <c r="GE413" s="21"/>
      <c r="GF413" s="21"/>
      <c r="GG413" s="21"/>
      <c r="GH413" s="21"/>
      <c r="GI413" s="21"/>
      <c r="GJ413" s="21"/>
      <c r="GK413" s="21"/>
      <c r="GL413" s="21"/>
      <c r="GM413" s="21"/>
      <c r="GN413" s="21"/>
      <c r="GO413" s="21"/>
      <c r="GP413" s="21"/>
      <c r="GQ413" s="21"/>
      <c r="GR413" s="21"/>
      <c r="GS413" s="21"/>
      <c r="GT413" s="21"/>
      <c r="GU413" s="21"/>
      <c r="GV413" s="21"/>
      <c r="GW413" s="21"/>
      <c r="GX413" s="21"/>
      <c r="GY413" s="21"/>
      <c r="GZ413" s="21"/>
      <c r="HA413" s="21"/>
      <c r="HB413" s="21"/>
      <c r="HC413" s="21"/>
      <c r="HD413" s="21"/>
      <c r="HE413" s="21"/>
      <c r="HF413" s="21"/>
      <c r="HG413" s="21"/>
      <c r="HH413" s="21"/>
      <c r="HI413" s="21"/>
      <c r="HJ413" s="21"/>
      <c r="HK413" s="21"/>
      <c r="HL413" s="21"/>
      <c r="HM413" s="21"/>
      <c r="HN413" s="21"/>
      <c r="HO413" s="21"/>
      <c r="HP413" s="21"/>
      <c r="HQ413" s="21"/>
      <c r="HR413" s="21"/>
      <c r="HS413" s="21"/>
      <c r="HT413" s="21"/>
      <c r="HU413" s="21"/>
      <c r="HV413" s="21"/>
      <c r="HW413" s="21"/>
      <c r="HX413" s="21"/>
      <c r="HY413" s="21"/>
      <c r="HZ413" s="21"/>
      <c r="IA413" s="21"/>
      <c r="IB413" s="21"/>
      <c r="IC413" s="21"/>
      <c r="ID413" s="21"/>
    </row>
    <row r="414" spans="1:238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21"/>
      <c r="ES414" s="21"/>
      <c r="ET414" s="21"/>
      <c r="EU414" s="21"/>
      <c r="EV414" s="21"/>
      <c r="EW414" s="21"/>
      <c r="EX414" s="21"/>
      <c r="EY414" s="21"/>
      <c r="EZ414" s="21"/>
      <c r="FA414" s="21"/>
      <c r="FB414" s="21"/>
      <c r="FC414" s="21"/>
      <c r="FD414" s="21"/>
      <c r="FE414" s="21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  <c r="GJ414" s="21"/>
      <c r="GK414" s="21"/>
      <c r="GL414" s="21"/>
      <c r="GM414" s="21"/>
      <c r="GN414" s="21"/>
      <c r="GO414" s="21"/>
      <c r="GP414" s="21"/>
      <c r="GQ414" s="21"/>
      <c r="GR414" s="21"/>
      <c r="GS414" s="21"/>
      <c r="GT414" s="21"/>
      <c r="GU414" s="21"/>
      <c r="GV414" s="21"/>
      <c r="GW414" s="21"/>
      <c r="GX414" s="21"/>
      <c r="GY414" s="21"/>
      <c r="GZ414" s="21"/>
      <c r="HA414" s="21"/>
      <c r="HB414" s="21"/>
      <c r="HC414" s="21"/>
      <c r="HD414" s="21"/>
      <c r="HE414" s="21"/>
      <c r="HF414" s="21"/>
      <c r="HG414" s="21"/>
      <c r="HH414" s="21"/>
      <c r="HI414" s="21"/>
      <c r="HJ414" s="21"/>
      <c r="HK414" s="21"/>
      <c r="HL414" s="21"/>
      <c r="HM414" s="21"/>
      <c r="HN414" s="21"/>
      <c r="HO414" s="21"/>
      <c r="HP414" s="21"/>
      <c r="HQ414" s="21"/>
      <c r="HR414" s="21"/>
      <c r="HS414" s="21"/>
      <c r="HT414" s="21"/>
      <c r="HU414" s="21"/>
      <c r="HV414" s="21"/>
      <c r="HW414" s="21"/>
      <c r="HX414" s="21"/>
      <c r="HY414" s="21"/>
      <c r="HZ414" s="21"/>
      <c r="IA414" s="21"/>
      <c r="IB414" s="21"/>
      <c r="IC414" s="21"/>
      <c r="ID414" s="21"/>
    </row>
    <row r="415" spans="1:238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21"/>
      <c r="ES415" s="21"/>
      <c r="ET415" s="21"/>
      <c r="EU415" s="21"/>
      <c r="EV415" s="21"/>
      <c r="EW415" s="21"/>
      <c r="EX415" s="21"/>
      <c r="EY415" s="21"/>
      <c r="EZ415" s="21"/>
      <c r="FA415" s="21"/>
      <c r="FB415" s="21"/>
      <c r="FC415" s="21"/>
      <c r="FD415" s="21"/>
      <c r="FE415" s="21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21"/>
      <c r="FW415" s="21"/>
      <c r="FX415" s="21"/>
      <c r="FY415" s="21"/>
      <c r="FZ415" s="21"/>
      <c r="GA415" s="21"/>
      <c r="GB415" s="21"/>
      <c r="GC415" s="21"/>
      <c r="GD415" s="21"/>
      <c r="GE415" s="21"/>
      <c r="GF415" s="21"/>
      <c r="GG415" s="21"/>
      <c r="GH415" s="21"/>
      <c r="GI415" s="21"/>
      <c r="GJ415" s="21"/>
      <c r="GK415" s="21"/>
      <c r="GL415" s="21"/>
      <c r="GM415" s="21"/>
      <c r="GN415" s="21"/>
      <c r="GO415" s="21"/>
      <c r="GP415" s="21"/>
      <c r="GQ415" s="21"/>
      <c r="GR415" s="21"/>
      <c r="GS415" s="21"/>
      <c r="GT415" s="21"/>
      <c r="GU415" s="21"/>
      <c r="GV415" s="21"/>
      <c r="GW415" s="21"/>
      <c r="GX415" s="21"/>
      <c r="GY415" s="21"/>
      <c r="GZ415" s="21"/>
      <c r="HA415" s="21"/>
      <c r="HB415" s="21"/>
      <c r="HC415" s="21"/>
      <c r="HD415" s="21"/>
      <c r="HE415" s="21"/>
      <c r="HF415" s="21"/>
      <c r="HG415" s="21"/>
      <c r="HH415" s="21"/>
      <c r="HI415" s="21"/>
      <c r="HJ415" s="21"/>
      <c r="HK415" s="21"/>
      <c r="HL415" s="21"/>
      <c r="HM415" s="21"/>
      <c r="HN415" s="21"/>
      <c r="HO415" s="21"/>
      <c r="HP415" s="21"/>
      <c r="HQ415" s="21"/>
      <c r="HR415" s="21"/>
      <c r="HS415" s="21"/>
      <c r="HT415" s="21"/>
      <c r="HU415" s="21"/>
      <c r="HV415" s="21"/>
      <c r="HW415" s="21"/>
      <c r="HX415" s="21"/>
      <c r="HY415" s="21"/>
      <c r="HZ415" s="21"/>
      <c r="IA415" s="21"/>
      <c r="IB415" s="21"/>
      <c r="IC415" s="21"/>
      <c r="ID415" s="21"/>
    </row>
    <row r="416" spans="1:238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1"/>
      <c r="EM416" s="21"/>
      <c r="EN416" s="21"/>
      <c r="EO416" s="21"/>
      <c r="EP416" s="21"/>
      <c r="EQ416" s="21"/>
      <c r="ER416" s="21"/>
      <c r="ES416" s="21"/>
      <c r="ET416" s="21"/>
      <c r="EU416" s="21"/>
      <c r="EV416" s="21"/>
      <c r="EW416" s="21"/>
      <c r="EX416" s="21"/>
      <c r="EY416" s="21"/>
      <c r="EZ416" s="21"/>
      <c r="FA416" s="21"/>
      <c r="FB416" s="21"/>
      <c r="FC416" s="21"/>
      <c r="FD416" s="21"/>
      <c r="FE416" s="21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21"/>
      <c r="FW416" s="21"/>
      <c r="FX416" s="21"/>
      <c r="FY416" s="21"/>
      <c r="FZ416" s="21"/>
      <c r="GA416" s="21"/>
      <c r="GB416" s="21"/>
      <c r="GC416" s="21"/>
      <c r="GD416" s="21"/>
      <c r="GE416" s="21"/>
      <c r="GF416" s="21"/>
      <c r="GG416" s="21"/>
      <c r="GH416" s="21"/>
      <c r="GI416" s="21"/>
      <c r="GJ416" s="21"/>
      <c r="GK416" s="21"/>
      <c r="GL416" s="21"/>
      <c r="GM416" s="21"/>
      <c r="GN416" s="21"/>
      <c r="GO416" s="21"/>
      <c r="GP416" s="21"/>
      <c r="GQ416" s="21"/>
      <c r="GR416" s="21"/>
      <c r="GS416" s="21"/>
      <c r="GT416" s="21"/>
      <c r="GU416" s="21"/>
      <c r="GV416" s="21"/>
      <c r="GW416" s="21"/>
      <c r="GX416" s="21"/>
      <c r="GY416" s="21"/>
      <c r="GZ416" s="21"/>
      <c r="HA416" s="21"/>
      <c r="HB416" s="21"/>
      <c r="HC416" s="21"/>
      <c r="HD416" s="21"/>
      <c r="HE416" s="21"/>
      <c r="HF416" s="21"/>
      <c r="HG416" s="21"/>
      <c r="HH416" s="21"/>
      <c r="HI416" s="21"/>
      <c r="HJ416" s="21"/>
      <c r="HK416" s="21"/>
      <c r="HL416" s="21"/>
      <c r="HM416" s="21"/>
      <c r="HN416" s="21"/>
      <c r="HO416" s="21"/>
      <c r="HP416" s="21"/>
      <c r="HQ416" s="21"/>
      <c r="HR416" s="21"/>
      <c r="HS416" s="21"/>
      <c r="HT416" s="21"/>
      <c r="HU416" s="21"/>
      <c r="HV416" s="21"/>
      <c r="HW416" s="21"/>
      <c r="HX416" s="21"/>
      <c r="HY416" s="21"/>
      <c r="HZ416" s="21"/>
      <c r="IA416" s="21"/>
      <c r="IB416" s="21"/>
      <c r="IC416" s="21"/>
      <c r="ID416" s="21"/>
    </row>
    <row r="417" spans="1:238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/>
      <c r="EJ417" s="21"/>
      <c r="EK417" s="21"/>
      <c r="EL417" s="21"/>
      <c r="EM417" s="21"/>
      <c r="EN417" s="21"/>
      <c r="EO417" s="21"/>
      <c r="EP417" s="21"/>
      <c r="EQ417" s="21"/>
      <c r="ER417" s="21"/>
      <c r="ES417" s="21"/>
      <c r="ET417" s="21"/>
      <c r="EU417" s="21"/>
      <c r="EV417" s="21"/>
      <c r="EW417" s="21"/>
      <c r="EX417" s="21"/>
      <c r="EY417" s="21"/>
      <c r="EZ417" s="21"/>
      <c r="FA417" s="21"/>
      <c r="FB417" s="21"/>
      <c r="FC417" s="21"/>
      <c r="FD417" s="21"/>
      <c r="FE417" s="21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21"/>
      <c r="FW417" s="21"/>
      <c r="FX417" s="21"/>
      <c r="FY417" s="21"/>
      <c r="FZ417" s="21"/>
      <c r="GA417" s="21"/>
      <c r="GB417" s="21"/>
      <c r="GC417" s="21"/>
      <c r="GD417" s="21"/>
      <c r="GE417" s="21"/>
      <c r="GF417" s="21"/>
      <c r="GG417" s="21"/>
      <c r="GH417" s="21"/>
      <c r="GI417" s="21"/>
      <c r="GJ417" s="21"/>
      <c r="GK417" s="21"/>
      <c r="GL417" s="21"/>
      <c r="GM417" s="21"/>
      <c r="GN417" s="21"/>
      <c r="GO417" s="21"/>
      <c r="GP417" s="21"/>
      <c r="GQ417" s="21"/>
      <c r="GR417" s="21"/>
      <c r="GS417" s="21"/>
      <c r="GT417" s="21"/>
      <c r="GU417" s="21"/>
      <c r="GV417" s="21"/>
      <c r="GW417" s="21"/>
      <c r="GX417" s="21"/>
      <c r="GY417" s="21"/>
      <c r="GZ417" s="21"/>
      <c r="HA417" s="21"/>
      <c r="HB417" s="21"/>
      <c r="HC417" s="21"/>
      <c r="HD417" s="21"/>
      <c r="HE417" s="21"/>
      <c r="HF417" s="21"/>
      <c r="HG417" s="21"/>
      <c r="HH417" s="21"/>
      <c r="HI417" s="21"/>
      <c r="HJ417" s="21"/>
      <c r="HK417" s="21"/>
      <c r="HL417" s="21"/>
      <c r="HM417" s="21"/>
      <c r="HN417" s="21"/>
      <c r="HO417" s="21"/>
      <c r="HP417" s="21"/>
      <c r="HQ417" s="21"/>
      <c r="HR417" s="21"/>
      <c r="HS417" s="21"/>
      <c r="HT417" s="21"/>
      <c r="HU417" s="21"/>
      <c r="HV417" s="21"/>
      <c r="HW417" s="21"/>
      <c r="HX417" s="21"/>
      <c r="HY417" s="21"/>
      <c r="HZ417" s="21"/>
      <c r="IA417" s="21"/>
      <c r="IB417" s="21"/>
      <c r="IC417" s="21"/>
      <c r="ID417" s="21"/>
    </row>
    <row r="418" spans="1:23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/>
      <c r="EJ418" s="21"/>
      <c r="EK418" s="21"/>
      <c r="EL418" s="21"/>
      <c r="EM418" s="21"/>
      <c r="EN418" s="21"/>
      <c r="EO418" s="21"/>
      <c r="EP418" s="21"/>
      <c r="EQ418" s="21"/>
      <c r="ER418" s="21"/>
      <c r="ES418" s="21"/>
      <c r="ET418" s="21"/>
      <c r="EU418" s="21"/>
      <c r="EV418" s="21"/>
      <c r="EW418" s="21"/>
      <c r="EX418" s="21"/>
      <c r="EY418" s="21"/>
      <c r="EZ418" s="21"/>
      <c r="FA418" s="21"/>
      <c r="FB418" s="21"/>
      <c r="FC418" s="21"/>
      <c r="FD418" s="21"/>
      <c r="FE418" s="21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21"/>
      <c r="FW418" s="21"/>
      <c r="FX418" s="21"/>
      <c r="FY418" s="21"/>
      <c r="FZ418" s="21"/>
      <c r="GA418" s="21"/>
      <c r="GB418" s="21"/>
      <c r="GC418" s="21"/>
      <c r="GD418" s="21"/>
      <c r="GE418" s="21"/>
      <c r="GF418" s="21"/>
      <c r="GG418" s="21"/>
      <c r="GH418" s="21"/>
      <c r="GI418" s="21"/>
      <c r="GJ418" s="21"/>
      <c r="GK418" s="21"/>
      <c r="GL418" s="21"/>
      <c r="GM418" s="21"/>
      <c r="GN418" s="21"/>
      <c r="GO418" s="21"/>
      <c r="GP418" s="21"/>
      <c r="GQ418" s="21"/>
      <c r="GR418" s="21"/>
      <c r="GS418" s="21"/>
      <c r="GT418" s="21"/>
      <c r="GU418" s="21"/>
      <c r="GV418" s="21"/>
      <c r="GW418" s="21"/>
      <c r="GX418" s="21"/>
      <c r="GY418" s="21"/>
      <c r="GZ418" s="21"/>
      <c r="HA418" s="21"/>
      <c r="HB418" s="21"/>
      <c r="HC418" s="21"/>
      <c r="HD418" s="21"/>
      <c r="HE418" s="21"/>
      <c r="HF418" s="21"/>
      <c r="HG418" s="21"/>
      <c r="HH418" s="21"/>
      <c r="HI418" s="21"/>
      <c r="HJ418" s="21"/>
      <c r="HK418" s="21"/>
      <c r="HL418" s="21"/>
      <c r="HM418" s="21"/>
      <c r="HN418" s="21"/>
      <c r="HO418" s="21"/>
      <c r="HP418" s="21"/>
      <c r="HQ418" s="21"/>
      <c r="HR418" s="21"/>
      <c r="HS418" s="21"/>
      <c r="HT418" s="21"/>
      <c r="HU418" s="21"/>
      <c r="HV418" s="21"/>
      <c r="HW418" s="21"/>
      <c r="HX418" s="21"/>
      <c r="HY418" s="21"/>
      <c r="HZ418" s="21"/>
      <c r="IA418" s="21"/>
      <c r="IB418" s="21"/>
      <c r="IC418" s="21"/>
      <c r="ID418" s="21"/>
    </row>
    <row r="419" spans="1:238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/>
      <c r="EJ419" s="21"/>
      <c r="EK419" s="21"/>
      <c r="EL419" s="21"/>
      <c r="EM419" s="21"/>
      <c r="EN419" s="21"/>
      <c r="EO419" s="21"/>
      <c r="EP419" s="21"/>
      <c r="EQ419" s="21"/>
      <c r="ER419" s="21"/>
      <c r="ES419" s="21"/>
      <c r="ET419" s="21"/>
      <c r="EU419" s="21"/>
      <c r="EV419" s="21"/>
      <c r="EW419" s="21"/>
      <c r="EX419" s="21"/>
      <c r="EY419" s="21"/>
      <c r="EZ419" s="21"/>
      <c r="FA419" s="21"/>
      <c r="FB419" s="21"/>
      <c r="FC419" s="21"/>
      <c r="FD419" s="21"/>
      <c r="FE419" s="21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21"/>
      <c r="FW419" s="21"/>
      <c r="FX419" s="21"/>
      <c r="FY419" s="21"/>
      <c r="FZ419" s="21"/>
      <c r="GA419" s="21"/>
      <c r="GB419" s="21"/>
      <c r="GC419" s="21"/>
      <c r="GD419" s="21"/>
      <c r="GE419" s="21"/>
      <c r="GF419" s="21"/>
      <c r="GG419" s="21"/>
      <c r="GH419" s="21"/>
      <c r="GI419" s="21"/>
      <c r="GJ419" s="21"/>
      <c r="GK419" s="21"/>
      <c r="GL419" s="21"/>
      <c r="GM419" s="21"/>
      <c r="GN419" s="21"/>
      <c r="GO419" s="21"/>
      <c r="GP419" s="21"/>
      <c r="GQ419" s="21"/>
      <c r="GR419" s="21"/>
      <c r="GS419" s="21"/>
      <c r="GT419" s="21"/>
      <c r="GU419" s="21"/>
      <c r="GV419" s="21"/>
      <c r="GW419" s="21"/>
      <c r="GX419" s="21"/>
      <c r="GY419" s="21"/>
      <c r="GZ419" s="21"/>
      <c r="HA419" s="21"/>
      <c r="HB419" s="21"/>
      <c r="HC419" s="21"/>
      <c r="HD419" s="21"/>
      <c r="HE419" s="21"/>
      <c r="HF419" s="21"/>
      <c r="HG419" s="21"/>
      <c r="HH419" s="21"/>
      <c r="HI419" s="21"/>
      <c r="HJ419" s="21"/>
      <c r="HK419" s="21"/>
      <c r="HL419" s="21"/>
      <c r="HM419" s="21"/>
      <c r="HN419" s="21"/>
      <c r="HO419" s="21"/>
      <c r="HP419" s="21"/>
      <c r="HQ419" s="21"/>
      <c r="HR419" s="21"/>
      <c r="HS419" s="21"/>
      <c r="HT419" s="21"/>
      <c r="HU419" s="21"/>
      <c r="HV419" s="21"/>
      <c r="HW419" s="21"/>
      <c r="HX419" s="21"/>
      <c r="HY419" s="21"/>
      <c r="HZ419" s="21"/>
      <c r="IA419" s="21"/>
      <c r="IB419" s="21"/>
      <c r="IC419" s="21"/>
      <c r="ID419" s="21"/>
    </row>
    <row r="420" spans="1:238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21"/>
      <c r="ES420" s="21"/>
      <c r="ET420" s="21"/>
      <c r="EU420" s="21"/>
      <c r="EV420" s="21"/>
      <c r="EW420" s="21"/>
      <c r="EX420" s="21"/>
      <c r="EY420" s="21"/>
      <c r="EZ420" s="21"/>
      <c r="FA420" s="21"/>
      <c r="FB420" s="21"/>
      <c r="FC420" s="21"/>
      <c r="FD420" s="21"/>
      <c r="FE420" s="21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  <c r="GJ420" s="21"/>
      <c r="GK420" s="21"/>
      <c r="GL420" s="21"/>
      <c r="GM420" s="21"/>
      <c r="GN420" s="21"/>
      <c r="GO420" s="21"/>
      <c r="GP420" s="21"/>
      <c r="GQ420" s="21"/>
      <c r="GR420" s="21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21"/>
      <c r="HF420" s="21"/>
      <c r="HG420" s="21"/>
      <c r="HH420" s="21"/>
      <c r="HI420" s="21"/>
      <c r="HJ420" s="21"/>
      <c r="HK420" s="21"/>
      <c r="HL420" s="21"/>
      <c r="HM420" s="21"/>
      <c r="HN420" s="21"/>
      <c r="HO420" s="21"/>
      <c r="HP420" s="21"/>
      <c r="HQ420" s="21"/>
      <c r="HR420" s="21"/>
      <c r="HS420" s="21"/>
      <c r="HT420" s="21"/>
      <c r="HU420" s="21"/>
      <c r="HV420" s="21"/>
      <c r="HW420" s="21"/>
      <c r="HX420" s="21"/>
      <c r="HY420" s="21"/>
      <c r="HZ420" s="21"/>
      <c r="IA420" s="21"/>
      <c r="IB420" s="21"/>
      <c r="IC420" s="21"/>
      <c r="ID420" s="21"/>
    </row>
    <row r="421" spans="1:238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1"/>
      <c r="EM421" s="21"/>
      <c r="EN421" s="21"/>
      <c r="EO421" s="21"/>
      <c r="EP421" s="21"/>
      <c r="EQ421" s="21"/>
      <c r="ER421" s="21"/>
      <c r="ES421" s="21"/>
      <c r="ET421" s="21"/>
      <c r="EU421" s="21"/>
      <c r="EV421" s="21"/>
      <c r="EW421" s="21"/>
      <c r="EX421" s="21"/>
      <c r="EY421" s="21"/>
      <c r="EZ421" s="21"/>
      <c r="FA421" s="21"/>
      <c r="FB421" s="21"/>
      <c r="FC421" s="21"/>
      <c r="FD421" s="21"/>
      <c r="FE421" s="21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  <c r="GJ421" s="21"/>
      <c r="GK421" s="21"/>
      <c r="GL421" s="21"/>
      <c r="GM421" s="21"/>
      <c r="GN421" s="21"/>
      <c r="GO421" s="21"/>
      <c r="GP421" s="21"/>
      <c r="GQ421" s="21"/>
      <c r="GR421" s="21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21"/>
      <c r="HF421" s="21"/>
      <c r="HG421" s="21"/>
      <c r="HH421" s="21"/>
      <c r="HI421" s="21"/>
      <c r="HJ421" s="21"/>
      <c r="HK421" s="21"/>
      <c r="HL421" s="21"/>
      <c r="HM421" s="21"/>
      <c r="HN421" s="21"/>
      <c r="HO421" s="21"/>
      <c r="HP421" s="21"/>
      <c r="HQ421" s="21"/>
      <c r="HR421" s="21"/>
      <c r="HS421" s="21"/>
      <c r="HT421" s="21"/>
      <c r="HU421" s="21"/>
      <c r="HV421" s="21"/>
      <c r="HW421" s="21"/>
      <c r="HX421" s="21"/>
      <c r="HY421" s="21"/>
      <c r="HZ421" s="21"/>
      <c r="IA421" s="21"/>
      <c r="IB421" s="21"/>
      <c r="IC421" s="21"/>
      <c r="ID421" s="21"/>
    </row>
    <row r="422" spans="1:238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/>
      <c r="EJ422" s="21"/>
      <c r="EK422" s="21"/>
      <c r="EL422" s="21"/>
      <c r="EM422" s="21"/>
      <c r="EN422" s="21"/>
      <c r="EO422" s="21"/>
      <c r="EP422" s="21"/>
      <c r="EQ422" s="21"/>
      <c r="ER422" s="21"/>
      <c r="ES422" s="21"/>
      <c r="ET422" s="21"/>
      <c r="EU422" s="21"/>
      <c r="EV422" s="21"/>
      <c r="EW422" s="21"/>
      <c r="EX422" s="21"/>
      <c r="EY422" s="21"/>
      <c r="EZ422" s="21"/>
      <c r="FA422" s="21"/>
      <c r="FB422" s="21"/>
      <c r="FC422" s="21"/>
      <c r="FD422" s="21"/>
      <c r="FE422" s="21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21"/>
      <c r="FW422" s="21"/>
      <c r="FX422" s="21"/>
      <c r="FY422" s="21"/>
      <c r="FZ422" s="21"/>
      <c r="GA422" s="21"/>
      <c r="GB422" s="21"/>
      <c r="GC422" s="21"/>
      <c r="GD422" s="21"/>
      <c r="GE422" s="21"/>
      <c r="GF422" s="21"/>
      <c r="GG422" s="21"/>
      <c r="GH422" s="21"/>
      <c r="GI422" s="21"/>
      <c r="GJ422" s="21"/>
      <c r="GK422" s="21"/>
      <c r="GL422" s="21"/>
      <c r="GM422" s="21"/>
      <c r="GN422" s="21"/>
      <c r="GO422" s="21"/>
      <c r="GP422" s="21"/>
      <c r="GQ422" s="21"/>
      <c r="GR422" s="21"/>
      <c r="GS422" s="21"/>
      <c r="GT422" s="21"/>
      <c r="GU422" s="21"/>
      <c r="GV422" s="21"/>
      <c r="GW422" s="21"/>
      <c r="GX422" s="21"/>
      <c r="GY422" s="21"/>
      <c r="GZ422" s="21"/>
      <c r="HA422" s="21"/>
      <c r="HB422" s="21"/>
      <c r="HC422" s="21"/>
      <c r="HD422" s="21"/>
      <c r="HE422" s="21"/>
      <c r="HF422" s="21"/>
      <c r="HG422" s="21"/>
      <c r="HH422" s="21"/>
      <c r="HI422" s="21"/>
      <c r="HJ422" s="21"/>
      <c r="HK422" s="21"/>
      <c r="HL422" s="21"/>
      <c r="HM422" s="21"/>
      <c r="HN422" s="21"/>
      <c r="HO422" s="21"/>
      <c r="HP422" s="21"/>
      <c r="HQ422" s="21"/>
      <c r="HR422" s="21"/>
      <c r="HS422" s="21"/>
      <c r="HT422" s="21"/>
      <c r="HU422" s="21"/>
      <c r="HV422" s="21"/>
      <c r="HW422" s="21"/>
      <c r="HX422" s="21"/>
      <c r="HY422" s="21"/>
      <c r="HZ422" s="21"/>
      <c r="IA422" s="21"/>
      <c r="IB422" s="21"/>
      <c r="IC422" s="21"/>
      <c r="ID422" s="21"/>
    </row>
    <row r="423" spans="1:238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1"/>
      <c r="EM423" s="21"/>
      <c r="EN423" s="21"/>
      <c r="EO423" s="21"/>
      <c r="EP423" s="21"/>
      <c r="EQ423" s="21"/>
      <c r="ER423" s="21"/>
      <c r="ES423" s="21"/>
      <c r="ET423" s="21"/>
      <c r="EU423" s="21"/>
      <c r="EV423" s="21"/>
      <c r="EW423" s="21"/>
      <c r="EX423" s="21"/>
      <c r="EY423" s="21"/>
      <c r="EZ423" s="21"/>
      <c r="FA423" s="21"/>
      <c r="FB423" s="21"/>
      <c r="FC423" s="21"/>
      <c r="FD423" s="21"/>
      <c r="FE423" s="21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21"/>
      <c r="FW423" s="21"/>
      <c r="FX423" s="21"/>
      <c r="FY423" s="21"/>
      <c r="FZ423" s="21"/>
      <c r="GA423" s="21"/>
      <c r="GB423" s="21"/>
      <c r="GC423" s="21"/>
      <c r="GD423" s="21"/>
      <c r="GE423" s="21"/>
      <c r="GF423" s="21"/>
      <c r="GG423" s="21"/>
      <c r="GH423" s="21"/>
      <c r="GI423" s="21"/>
      <c r="GJ423" s="21"/>
      <c r="GK423" s="21"/>
      <c r="GL423" s="21"/>
      <c r="GM423" s="21"/>
      <c r="GN423" s="21"/>
      <c r="GO423" s="21"/>
      <c r="GP423" s="21"/>
      <c r="GQ423" s="21"/>
      <c r="GR423" s="21"/>
      <c r="GS423" s="21"/>
      <c r="GT423" s="21"/>
      <c r="GU423" s="21"/>
      <c r="GV423" s="21"/>
      <c r="GW423" s="21"/>
      <c r="GX423" s="21"/>
      <c r="GY423" s="21"/>
      <c r="GZ423" s="21"/>
      <c r="HA423" s="21"/>
      <c r="HB423" s="21"/>
      <c r="HC423" s="21"/>
      <c r="HD423" s="21"/>
      <c r="HE423" s="21"/>
      <c r="HF423" s="21"/>
      <c r="HG423" s="21"/>
      <c r="HH423" s="21"/>
      <c r="HI423" s="21"/>
      <c r="HJ423" s="21"/>
      <c r="HK423" s="21"/>
      <c r="HL423" s="21"/>
      <c r="HM423" s="21"/>
      <c r="HN423" s="21"/>
      <c r="HO423" s="21"/>
      <c r="HP423" s="21"/>
      <c r="HQ423" s="21"/>
      <c r="HR423" s="21"/>
      <c r="HS423" s="21"/>
      <c r="HT423" s="21"/>
      <c r="HU423" s="21"/>
      <c r="HV423" s="21"/>
      <c r="HW423" s="21"/>
      <c r="HX423" s="21"/>
      <c r="HY423" s="21"/>
      <c r="HZ423" s="21"/>
      <c r="IA423" s="21"/>
      <c r="IB423" s="21"/>
      <c r="IC423" s="21"/>
      <c r="ID423" s="21"/>
    </row>
    <row r="424" spans="1:238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1"/>
      <c r="EM424" s="21"/>
      <c r="EN424" s="21"/>
      <c r="EO424" s="21"/>
      <c r="EP424" s="21"/>
      <c r="EQ424" s="21"/>
      <c r="ER424" s="21"/>
      <c r="ES424" s="21"/>
      <c r="ET424" s="21"/>
      <c r="EU424" s="21"/>
      <c r="EV424" s="21"/>
      <c r="EW424" s="21"/>
      <c r="EX424" s="21"/>
      <c r="EY424" s="21"/>
      <c r="EZ424" s="21"/>
      <c r="FA424" s="21"/>
      <c r="FB424" s="21"/>
      <c r="FC424" s="21"/>
      <c r="FD424" s="21"/>
      <c r="FE424" s="21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/>
      <c r="GD424" s="21"/>
      <c r="GE424" s="21"/>
      <c r="GF424" s="21"/>
      <c r="GG424" s="21"/>
      <c r="GH424" s="21"/>
      <c r="GI424" s="21"/>
      <c r="GJ424" s="21"/>
      <c r="GK424" s="21"/>
      <c r="GL424" s="21"/>
      <c r="GM424" s="21"/>
      <c r="GN424" s="21"/>
      <c r="GO424" s="21"/>
      <c r="GP424" s="21"/>
      <c r="GQ424" s="21"/>
      <c r="GR424" s="21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21"/>
      <c r="HF424" s="21"/>
      <c r="HG424" s="21"/>
      <c r="HH424" s="21"/>
      <c r="HI424" s="21"/>
      <c r="HJ424" s="21"/>
      <c r="HK424" s="21"/>
      <c r="HL424" s="21"/>
      <c r="HM424" s="21"/>
      <c r="HN424" s="21"/>
      <c r="HO424" s="21"/>
      <c r="HP424" s="21"/>
      <c r="HQ424" s="21"/>
      <c r="HR424" s="21"/>
      <c r="HS424" s="21"/>
      <c r="HT424" s="21"/>
      <c r="HU424" s="21"/>
      <c r="HV424" s="21"/>
      <c r="HW424" s="21"/>
      <c r="HX424" s="21"/>
      <c r="HY424" s="21"/>
      <c r="HZ424" s="21"/>
      <c r="IA424" s="21"/>
      <c r="IB424" s="21"/>
      <c r="IC424" s="21"/>
      <c r="ID424" s="21"/>
    </row>
    <row r="425" spans="1:238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1"/>
      <c r="EM425" s="21"/>
      <c r="EN425" s="21"/>
      <c r="EO425" s="21"/>
      <c r="EP425" s="21"/>
      <c r="EQ425" s="21"/>
      <c r="ER425" s="21"/>
      <c r="ES425" s="21"/>
      <c r="ET425" s="21"/>
      <c r="EU425" s="21"/>
      <c r="EV425" s="21"/>
      <c r="EW425" s="21"/>
      <c r="EX425" s="21"/>
      <c r="EY425" s="21"/>
      <c r="EZ425" s="21"/>
      <c r="FA425" s="21"/>
      <c r="FB425" s="21"/>
      <c r="FC425" s="21"/>
      <c r="FD425" s="21"/>
      <c r="FE425" s="21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21"/>
      <c r="FW425" s="21"/>
      <c r="FX425" s="21"/>
      <c r="FY425" s="21"/>
      <c r="FZ425" s="21"/>
      <c r="GA425" s="21"/>
      <c r="GB425" s="21"/>
      <c r="GC425" s="21"/>
      <c r="GD425" s="21"/>
      <c r="GE425" s="21"/>
      <c r="GF425" s="21"/>
      <c r="GG425" s="21"/>
      <c r="GH425" s="21"/>
      <c r="GI425" s="21"/>
      <c r="GJ425" s="21"/>
      <c r="GK425" s="21"/>
      <c r="GL425" s="21"/>
      <c r="GM425" s="21"/>
      <c r="GN425" s="21"/>
      <c r="GO425" s="21"/>
      <c r="GP425" s="21"/>
      <c r="GQ425" s="21"/>
      <c r="GR425" s="21"/>
      <c r="GS425" s="21"/>
      <c r="GT425" s="21"/>
      <c r="GU425" s="21"/>
      <c r="GV425" s="21"/>
      <c r="GW425" s="21"/>
      <c r="GX425" s="21"/>
      <c r="GY425" s="21"/>
      <c r="GZ425" s="21"/>
      <c r="HA425" s="21"/>
      <c r="HB425" s="21"/>
      <c r="HC425" s="21"/>
      <c r="HD425" s="21"/>
      <c r="HE425" s="21"/>
      <c r="HF425" s="21"/>
      <c r="HG425" s="21"/>
      <c r="HH425" s="21"/>
      <c r="HI425" s="21"/>
      <c r="HJ425" s="21"/>
      <c r="HK425" s="21"/>
      <c r="HL425" s="21"/>
      <c r="HM425" s="21"/>
      <c r="HN425" s="21"/>
      <c r="HO425" s="21"/>
      <c r="HP425" s="21"/>
      <c r="HQ425" s="21"/>
      <c r="HR425" s="21"/>
      <c r="HS425" s="21"/>
      <c r="HT425" s="21"/>
      <c r="HU425" s="21"/>
      <c r="HV425" s="21"/>
      <c r="HW425" s="21"/>
      <c r="HX425" s="21"/>
      <c r="HY425" s="21"/>
      <c r="HZ425" s="21"/>
      <c r="IA425" s="21"/>
      <c r="IB425" s="21"/>
      <c r="IC425" s="21"/>
      <c r="ID425" s="21"/>
    </row>
    <row r="426" spans="1:238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1"/>
      <c r="EM426" s="21"/>
      <c r="EN426" s="21"/>
      <c r="EO426" s="21"/>
      <c r="EP426" s="21"/>
      <c r="EQ426" s="21"/>
      <c r="ER426" s="21"/>
      <c r="ES426" s="21"/>
      <c r="ET426" s="21"/>
      <c r="EU426" s="21"/>
      <c r="EV426" s="21"/>
      <c r="EW426" s="21"/>
      <c r="EX426" s="21"/>
      <c r="EY426" s="21"/>
      <c r="EZ426" s="21"/>
      <c r="FA426" s="21"/>
      <c r="FB426" s="21"/>
      <c r="FC426" s="21"/>
      <c r="FD426" s="21"/>
      <c r="FE426" s="21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21"/>
      <c r="FW426" s="21"/>
      <c r="FX426" s="21"/>
      <c r="FY426" s="21"/>
      <c r="FZ426" s="21"/>
      <c r="GA426" s="21"/>
      <c r="GB426" s="21"/>
      <c r="GC426" s="21"/>
      <c r="GD426" s="21"/>
      <c r="GE426" s="21"/>
      <c r="GF426" s="21"/>
      <c r="GG426" s="21"/>
      <c r="GH426" s="21"/>
      <c r="GI426" s="21"/>
      <c r="GJ426" s="21"/>
      <c r="GK426" s="21"/>
      <c r="GL426" s="21"/>
      <c r="GM426" s="21"/>
      <c r="GN426" s="21"/>
      <c r="GO426" s="21"/>
      <c r="GP426" s="21"/>
      <c r="GQ426" s="21"/>
      <c r="GR426" s="21"/>
      <c r="GS426" s="21"/>
      <c r="GT426" s="21"/>
      <c r="GU426" s="21"/>
      <c r="GV426" s="21"/>
      <c r="GW426" s="21"/>
      <c r="GX426" s="21"/>
      <c r="GY426" s="21"/>
      <c r="GZ426" s="21"/>
      <c r="HA426" s="21"/>
      <c r="HB426" s="21"/>
      <c r="HC426" s="21"/>
      <c r="HD426" s="21"/>
      <c r="HE426" s="21"/>
      <c r="HF426" s="21"/>
      <c r="HG426" s="21"/>
      <c r="HH426" s="21"/>
      <c r="HI426" s="21"/>
      <c r="HJ426" s="21"/>
      <c r="HK426" s="21"/>
      <c r="HL426" s="21"/>
      <c r="HM426" s="21"/>
      <c r="HN426" s="21"/>
      <c r="HO426" s="21"/>
      <c r="HP426" s="21"/>
      <c r="HQ426" s="21"/>
      <c r="HR426" s="21"/>
      <c r="HS426" s="21"/>
      <c r="HT426" s="21"/>
      <c r="HU426" s="21"/>
      <c r="HV426" s="21"/>
      <c r="HW426" s="21"/>
      <c r="HX426" s="21"/>
      <c r="HY426" s="21"/>
      <c r="HZ426" s="21"/>
      <c r="IA426" s="21"/>
      <c r="IB426" s="21"/>
      <c r="IC426" s="21"/>
      <c r="ID426" s="21"/>
    </row>
    <row r="427" spans="1:238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1"/>
      <c r="EM427" s="21"/>
      <c r="EN427" s="21"/>
      <c r="EO427" s="21"/>
      <c r="EP427" s="21"/>
      <c r="EQ427" s="21"/>
      <c r="ER427" s="21"/>
      <c r="ES427" s="21"/>
      <c r="ET427" s="21"/>
      <c r="EU427" s="21"/>
      <c r="EV427" s="21"/>
      <c r="EW427" s="21"/>
      <c r="EX427" s="21"/>
      <c r="EY427" s="21"/>
      <c r="EZ427" s="21"/>
      <c r="FA427" s="21"/>
      <c r="FB427" s="21"/>
      <c r="FC427" s="21"/>
      <c r="FD427" s="21"/>
      <c r="FE427" s="21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21"/>
      <c r="FW427" s="21"/>
      <c r="FX427" s="21"/>
      <c r="FY427" s="21"/>
      <c r="FZ427" s="21"/>
      <c r="GA427" s="21"/>
      <c r="GB427" s="21"/>
      <c r="GC427" s="21"/>
      <c r="GD427" s="21"/>
      <c r="GE427" s="21"/>
      <c r="GF427" s="21"/>
      <c r="GG427" s="21"/>
      <c r="GH427" s="21"/>
      <c r="GI427" s="21"/>
      <c r="GJ427" s="21"/>
      <c r="GK427" s="21"/>
      <c r="GL427" s="21"/>
      <c r="GM427" s="21"/>
      <c r="GN427" s="21"/>
      <c r="GO427" s="21"/>
      <c r="GP427" s="21"/>
      <c r="GQ427" s="21"/>
      <c r="GR427" s="21"/>
      <c r="GS427" s="21"/>
      <c r="GT427" s="21"/>
      <c r="GU427" s="21"/>
      <c r="GV427" s="21"/>
      <c r="GW427" s="21"/>
      <c r="GX427" s="21"/>
      <c r="GY427" s="21"/>
      <c r="GZ427" s="21"/>
      <c r="HA427" s="21"/>
      <c r="HB427" s="21"/>
      <c r="HC427" s="21"/>
      <c r="HD427" s="21"/>
      <c r="HE427" s="21"/>
      <c r="HF427" s="21"/>
      <c r="HG427" s="21"/>
      <c r="HH427" s="21"/>
      <c r="HI427" s="21"/>
      <c r="HJ427" s="21"/>
      <c r="HK427" s="21"/>
      <c r="HL427" s="21"/>
      <c r="HM427" s="21"/>
      <c r="HN427" s="21"/>
      <c r="HO427" s="21"/>
      <c r="HP427" s="21"/>
      <c r="HQ427" s="21"/>
      <c r="HR427" s="21"/>
      <c r="HS427" s="21"/>
      <c r="HT427" s="21"/>
      <c r="HU427" s="21"/>
      <c r="HV427" s="21"/>
      <c r="HW427" s="21"/>
      <c r="HX427" s="21"/>
      <c r="HY427" s="21"/>
      <c r="HZ427" s="21"/>
      <c r="IA427" s="21"/>
      <c r="IB427" s="21"/>
      <c r="IC427" s="21"/>
      <c r="ID427" s="21"/>
    </row>
    <row r="428" spans="1:23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1"/>
      <c r="EM428" s="21"/>
      <c r="EN428" s="21"/>
      <c r="EO428" s="21"/>
      <c r="EP428" s="21"/>
      <c r="EQ428" s="21"/>
      <c r="ER428" s="21"/>
      <c r="ES428" s="21"/>
      <c r="ET428" s="21"/>
      <c r="EU428" s="21"/>
      <c r="EV428" s="21"/>
      <c r="EW428" s="21"/>
      <c r="EX428" s="21"/>
      <c r="EY428" s="21"/>
      <c r="EZ428" s="21"/>
      <c r="FA428" s="21"/>
      <c r="FB428" s="21"/>
      <c r="FC428" s="21"/>
      <c r="FD428" s="21"/>
      <c r="FE428" s="21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21"/>
      <c r="FW428" s="21"/>
      <c r="FX428" s="21"/>
      <c r="FY428" s="21"/>
      <c r="FZ428" s="21"/>
      <c r="GA428" s="21"/>
      <c r="GB428" s="21"/>
      <c r="GC428" s="21"/>
      <c r="GD428" s="21"/>
      <c r="GE428" s="21"/>
      <c r="GF428" s="21"/>
      <c r="GG428" s="21"/>
      <c r="GH428" s="21"/>
      <c r="GI428" s="21"/>
      <c r="GJ428" s="21"/>
      <c r="GK428" s="21"/>
      <c r="GL428" s="21"/>
      <c r="GM428" s="21"/>
      <c r="GN428" s="21"/>
      <c r="GO428" s="21"/>
      <c r="GP428" s="21"/>
      <c r="GQ428" s="21"/>
      <c r="GR428" s="21"/>
      <c r="GS428" s="21"/>
      <c r="GT428" s="21"/>
      <c r="GU428" s="21"/>
      <c r="GV428" s="21"/>
      <c r="GW428" s="21"/>
      <c r="GX428" s="21"/>
      <c r="GY428" s="21"/>
      <c r="GZ428" s="21"/>
      <c r="HA428" s="21"/>
      <c r="HB428" s="21"/>
      <c r="HC428" s="21"/>
      <c r="HD428" s="21"/>
      <c r="HE428" s="21"/>
      <c r="HF428" s="21"/>
      <c r="HG428" s="21"/>
      <c r="HH428" s="21"/>
      <c r="HI428" s="21"/>
      <c r="HJ428" s="21"/>
      <c r="HK428" s="21"/>
      <c r="HL428" s="21"/>
      <c r="HM428" s="21"/>
      <c r="HN428" s="21"/>
      <c r="HO428" s="21"/>
      <c r="HP428" s="21"/>
      <c r="HQ428" s="21"/>
      <c r="HR428" s="21"/>
      <c r="HS428" s="21"/>
      <c r="HT428" s="21"/>
      <c r="HU428" s="21"/>
      <c r="HV428" s="21"/>
      <c r="HW428" s="21"/>
      <c r="HX428" s="21"/>
      <c r="HY428" s="21"/>
      <c r="HZ428" s="21"/>
      <c r="IA428" s="21"/>
      <c r="IB428" s="21"/>
      <c r="IC428" s="21"/>
      <c r="ID428" s="21"/>
    </row>
    <row r="429" spans="1:238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1"/>
      <c r="EM429" s="21"/>
      <c r="EN429" s="21"/>
      <c r="EO429" s="21"/>
      <c r="EP429" s="21"/>
      <c r="EQ429" s="21"/>
      <c r="ER429" s="21"/>
      <c r="ES429" s="21"/>
      <c r="ET429" s="21"/>
      <c r="EU429" s="21"/>
      <c r="EV429" s="21"/>
      <c r="EW429" s="21"/>
      <c r="EX429" s="21"/>
      <c r="EY429" s="21"/>
      <c r="EZ429" s="21"/>
      <c r="FA429" s="21"/>
      <c r="FB429" s="21"/>
      <c r="FC429" s="21"/>
      <c r="FD429" s="21"/>
      <c r="FE429" s="21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21"/>
      <c r="FW429" s="21"/>
      <c r="FX429" s="21"/>
      <c r="FY429" s="21"/>
      <c r="FZ429" s="21"/>
      <c r="GA429" s="21"/>
      <c r="GB429" s="21"/>
      <c r="GC429" s="21"/>
      <c r="GD429" s="21"/>
      <c r="GE429" s="21"/>
      <c r="GF429" s="21"/>
      <c r="GG429" s="21"/>
      <c r="GH429" s="21"/>
      <c r="GI429" s="21"/>
      <c r="GJ429" s="21"/>
      <c r="GK429" s="21"/>
      <c r="GL429" s="21"/>
      <c r="GM429" s="21"/>
      <c r="GN429" s="21"/>
      <c r="GO429" s="21"/>
      <c r="GP429" s="21"/>
      <c r="GQ429" s="21"/>
      <c r="GR429" s="21"/>
      <c r="GS429" s="21"/>
      <c r="GT429" s="21"/>
      <c r="GU429" s="21"/>
      <c r="GV429" s="21"/>
      <c r="GW429" s="21"/>
      <c r="GX429" s="21"/>
      <c r="GY429" s="21"/>
      <c r="GZ429" s="21"/>
      <c r="HA429" s="21"/>
      <c r="HB429" s="21"/>
      <c r="HC429" s="21"/>
      <c r="HD429" s="21"/>
      <c r="HE429" s="21"/>
      <c r="HF429" s="21"/>
      <c r="HG429" s="21"/>
      <c r="HH429" s="21"/>
      <c r="HI429" s="21"/>
      <c r="HJ429" s="21"/>
      <c r="HK429" s="21"/>
      <c r="HL429" s="21"/>
      <c r="HM429" s="21"/>
      <c r="HN429" s="21"/>
      <c r="HO429" s="21"/>
      <c r="HP429" s="21"/>
      <c r="HQ429" s="21"/>
      <c r="HR429" s="21"/>
      <c r="HS429" s="21"/>
      <c r="HT429" s="21"/>
      <c r="HU429" s="21"/>
      <c r="HV429" s="21"/>
      <c r="HW429" s="21"/>
      <c r="HX429" s="21"/>
      <c r="HY429" s="21"/>
      <c r="HZ429" s="21"/>
      <c r="IA429" s="21"/>
      <c r="IB429" s="21"/>
      <c r="IC429" s="21"/>
      <c r="ID429" s="21"/>
    </row>
    <row r="430" spans="1:238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1"/>
      <c r="EM430" s="21"/>
      <c r="EN430" s="21"/>
      <c r="EO430" s="21"/>
      <c r="EP430" s="21"/>
      <c r="EQ430" s="21"/>
      <c r="ER430" s="21"/>
      <c r="ES430" s="21"/>
      <c r="ET430" s="21"/>
      <c r="EU430" s="21"/>
      <c r="EV430" s="21"/>
      <c r="EW430" s="21"/>
      <c r="EX430" s="21"/>
      <c r="EY430" s="21"/>
      <c r="EZ430" s="21"/>
      <c r="FA430" s="21"/>
      <c r="FB430" s="21"/>
      <c r="FC430" s="21"/>
      <c r="FD430" s="21"/>
      <c r="FE430" s="21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21"/>
      <c r="FW430" s="21"/>
      <c r="FX430" s="21"/>
      <c r="FY430" s="21"/>
      <c r="FZ430" s="21"/>
      <c r="GA430" s="21"/>
      <c r="GB430" s="21"/>
      <c r="GC430" s="21"/>
      <c r="GD430" s="21"/>
      <c r="GE430" s="21"/>
      <c r="GF430" s="21"/>
      <c r="GG430" s="21"/>
      <c r="GH430" s="21"/>
      <c r="GI430" s="21"/>
      <c r="GJ430" s="21"/>
      <c r="GK430" s="21"/>
      <c r="GL430" s="21"/>
      <c r="GM430" s="21"/>
      <c r="GN430" s="21"/>
      <c r="GO430" s="21"/>
      <c r="GP430" s="21"/>
      <c r="GQ430" s="21"/>
      <c r="GR430" s="21"/>
      <c r="GS430" s="21"/>
      <c r="GT430" s="21"/>
      <c r="GU430" s="21"/>
      <c r="GV430" s="21"/>
      <c r="GW430" s="21"/>
      <c r="GX430" s="21"/>
      <c r="GY430" s="21"/>
      <c r="GZ430" s="21"/>
      <c r="HA430" s="21"/>
      <c r="HB430" s="21"/>
      <c r="HC430" s="21"/>
      <c r="HD430" s="21"/>
      <c r="HE430" s="21"/>
      <c r="HF430" s="21"/>
      <c r="HG430" s="21"/>
      <c r="HH430" s="21"/>
      <c r="HI430" s="21"/>
      <c r="HJ430" s="21"/>
      <c r="HK430" s="21"/>
      <c r="HL430" s="21"/>
      <c r="HM430" s="21"/>
      <c r="HN430" s="21"/>
      <c r="HO430" s="21"/>
      <c r="HP430" s="21"/>
      <c r="HQ430" s="21"/>
      <c r="HR430" s="21"/>
      <c r="HS430" s="21"/>
      <c r="HT430" s="21"/>
      <c r="HU430" s="21"/>
      <c r="HV430" s="21"/>
      <c r="HW430" s="21"/>
      <c r="HX430" s="21"/>
      <c r="HY430" s="21"/>
      <c r="HZ430" s="21"/>
      <c r="IA430" s="21"/>
      <c r="IB430" s="21"/>
      <c r="IC430" s="21"/>
      <c r="ID430" s="21"/>
    </row>
    <row r="431" spans="1:238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1"/>
      <c r="FD431" s="21"/>
      <c r="FE431" s="21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21"/>
      <c r="FW431" s="21"/>
      <c r="FX431" s="21"/>
      <c r="FY431" s="21"/>
      <c r="FZ431" s="21"/>
      <c r="GA431" s="21"/>
      <c r="GB431" s="21"/>
      <c r="GC431" s="21"/>
      <c r="GD431" s="21"/>
      <c r="GE431" s="21"/>
      <c r="GF431" s="21"/>
      <c r="GG431" s="21"/>
      <c r="GH431" s="21"/>
      <c r="GI431" s="21"/>
      <c r="GJ431" s="21"/>
      <c r="GK431" s="21"/>
      <c r="GL431" s="21"/>
      <c r="GM431" s="21"/>
      <c r="GN431" s="21"/>
      <c r="GO431" s="21"/>
      <c r="GP431" s="21"/>
      <c r="GQ431" s="21"/>
      <c r="GR431" s="21"/>
      <c r="GS431" s="21"/>
      <c r="GT431" s="21"/>
      <c r="GU431" s="21"/>
      <c r="GV431" s="21"/>
      <c r="GW431" s="21"/>
      <c r="GX431" s="21"/>
      <c r="GY431" s="21"/>
      <c r="GZ431" s="21"/>
      <c r="HA431" s="21"/>
      <c r="HB431" s="21"/>
      <c r="HC431" s="21"/>
      <c r="HD431" s="21"/>
      <c r="HE431" s="21"/>
      <c r="HF431" s="21"/>
      <c r="HG431" s="21"/>
      <c r="HH431" s="21"/>
      <c r="HI431" s="21"/>
      <c r="HJ431" s="21"/>
      <c r="HK431" s="21"/>
      <c r="HL431" s="21"/>
      <c r="HM431" s="21"/>
      <c r="HN431" s="21"/>
      <c r="HO431" s="21"/>
      <c r="HP431" s="21"/>
      <c r="HQ431" s="21"/>
      <c r="HR431" s="21"/>
      <c r="HS431" s="21"/>
      <c r="HT431" s="21"/>
      <c r="HU431" s="21"/>
      <c r="HV431" s="21"/>
      <c r="HW431" s="21"/>
      <c r="HX431" s="21"/>
      <c r="HY431" s="21"/>
      <c r="HZ431" s="21"/>
      <c r="IA431" s="21"/>
      <c r="IB431" s="21"/>
      <c r="IC431" s="21"/>
      <c r="ID431" s="21"/>
    </row>
    <row r="432" spans="1:238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/>
      <c r="EG432" s="21"/>
      <c r="EH432" s="21"/>
      <c r="EI432" s="21"/>
      <c r="EJ432" s="21"/>
      <c r="EK432" s="21"/>
      <c r="EL432" s="21"/>
      <c r="EM432" s="21"/>
      <c r="EN432" s="21"/>
      <c r="EO432" s="21"/>
      <c r="EP432" s="21"/>
      <c r="EQ432" s="21"/>
      <c r="ER432" s="21"/>
      <c r="ES432" s="21"/>
      <c r="ET432" s="21"/>
      <c r="EU432" s="21"/>
      <c r="EV432" s="21"/>
      <c r="EW432" s="21"/>
      <c r="EX432" s="21"/>
      <c r="EY432" s="21"/>
      <c r="EZ432" s="21"/>
      <c r="FA432" s="21"/>
      <c r="FB432" s="21"/>
      <c r="FC432" s="21"/>
      <c r="FD432" s="21"/>
      <c r="FE432" s="21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21"/>
      <c r="FW432" s="21"/>
      <c r="FX432" s="21"/>
      <c r="FY432" s="21"/>
      <c r="FZ432" s="21"/>
      <c r="GA432" s="21"/>
      <c r="GB432" s="21"/>
      <c r="GC432" s="21"/>
      <c r="GD432" s="21"/>
      <c r="GE432" s="21"/>
      <c r="GF432" s="21"/>
      <c r="GG432" s="21"/>
      <c r="GH432" s="21"/>
      <c r="GI432" s="21"/>
      <c r="GJ432" s="21"/>
      <c r="GK432" s="21"/>
      <c r="GL432" s="21"/>
      <c r="GM432" s="21"/>
      <c r="GN432" s="21"/>
      <c r="GO432" s="21"/>
      <c r="GP432" s="21"/>
      <c r="GQ432" s="21"/>
      <c r="GR432" s="21"/>
      <c r="GS432" s="21"/>
      <c r="GT432" s="21"/>
      <c r="GU432" s="21"/>
      <c r="GV432" s="21"/>
      <c r="GW432" s="21"/>
      <c r="GX432" s="21"/>
      <c r="GY432" s="21"/>
      <c r="GZ432" s="21"/>
      <c r="HA432" s="21"/>
      <c r="HB432" s="21"/>
      <c r="HC432" s="21"/>
      <c r="HD432" s="21"/>
      <c r="HE432" s="21"/>
      <c r="HF432" s="21"/>
      <c r="HG432" s="21"/>
      <c r="HH432" s="21"/>
      <c r="HI432" s="21"/>
      <c r="HJ432" s="21"/>
      <c r="HK432" s="21"/>
      <c r="HL432" s="21"/>
      <c r="HM432" s="21"/>
      <c r="HN432" s="21"/>
      <c r="HO432" s="21"/>
      <c r="HP432" s="21"/>
      <c r="HQ432" s="21"/>
      <c r="HR432" s="21"/>
      <c r="HS432" s="21"/>
      <c r="HT432" s="21"/>
      <c r="HU432" s="21"/>
      <c r="HV432" s="21"/>
      <c r="HW432" s="21"/>
      <c r="HX432" s="21"/>
      <c r="HY432" s="21"/>
      <c r="HZ432" s="21"/>
      <c r="IA432" s="21"/>
      <c r="IB432" s="21"/>
      <c r="IC432" s="21"/>
      <c r="ID432" s="21"/>
    </row>
    <row r="433" spans="1:238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/>
      <c r="EG433" s="21"/>
      <c r="EH433" s="21"/>
      <c r="EI433" s="21"/>
      <c r="EJ433" s="21"/>
      <c r="EK433" s="21"/>
      <c r="EL433" s="21"/>
      <c r="EM433" s="21"/>
      <c r="EN433" s="21"/>
      <c r="EO433" s="21"/>
      <c r="EP433" s="21"/>
      <c r="EQ433" s="21"/>
      <c r="ER433" s="21"/>
      <c r="ES433" s="21"/>
      <c r="ET433" s="21"/>
      <c r="EU433" s="21"/>
      <c r="EV433" s="21"/>
      <c r="EW433" s="21"/>
      <c r="EX433" s="21"/>
      <c r="EY433" s="21"/>
      <c r="EZ433" s="21"/>
      <c r="FA433" s="21"/>
      <c r="FB433" s="21"/>
      <c r="FC433" s="21"/>
      <c r="FD433" s="21"/>
      <c r="FE433" s="21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21"/>
      <c r="FW433" s="21"/>
      <c r="FX433" s="21"/>
      <c r="FY433" s="21"/>
      <c r="FZ433" s="21"/>
      <c r="GA433" s="21"/>
      <c r="GB433" s="21"/>
      <c r="GC433" s="21"/>
      <c r="GD433" s="21"/>
      <c r="GE433" s="21"/>
      <c r="GF433" s="21"/>
      <c r="GG433" s="21"/>
      <c r="GH433" s="21"/>
      <c r="GI433" s="21"/>
      <c r="GJ433" s="21"/>
      <c r="GK433" s="21"/>
      <c r="GL433" s="21"/>
      <c r="GM433" s="21"/>
      <c r="GN433" s="21"/>
      <c r="GO433" s="21"/>
      <c r="GP433" s="21"/>
      <c r="GQ433" s="21"/>
      <c r="GR433" s="21"/>
      <c r="GS433" s="21"/>
      <c r="GT433" s="21"/>
      <c r="GU433" s="21"/>
      <c r="GV433" s="21"/>
      <c r="GW433" s="21"/>
      <c r="GX433" s="21"/>
      <c r="GY433" s="21"/>
      <c r="GZ433" s="21"/>
      <c r="HA433" s="21"/>
      <c r="HB433" s="21"/>
      <c r="HC433" s="21"/>
      <c r="HD433" s="21"/>
      <c r="HE433" s="21"/>
      <c r="HF433" s="21"/>
      <c r="HG433" s="21"/>
      <c r="HH433" s="21"/>
      <c r="HI433" s="21"/>
      <c r="HJ433" s="21"/>
      <c r="HK433" s="21"/>
      <c r="HL433" s="21"/>
      <c r="HM433" s="21"/>
      <c r="HN433" s="21"/>
      <c r="HO433" s="21"/>
      <c r="HP433" s="21"/>
      <c r="HQ433" s="21"/>
      <c r="HR433" s="21"/>
      <c r="HS433" s="21"/>
      <c r="HT433" s="21"/>
      <c r="HU433" s="21"/>
      <c r="HV433" s="21"/>
      <c r="HW433" s="21"/>
      <c r="HX433" s="21"/>
      <c r="HY433" s="21"/>
      <c r="HZ433" s="21"/>
      <c r="IA433" s="21"/>
      <c r="IB433" s="21"/>
      <c r="IC433" s="21"/>
      <c r="ID433" s="21"/>
    </row>
    <row r="434" spans="1:238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/>
      <c r="EG434" s="21"/>
      <c r="EH434" s="21"/>
      <c r="EI434" s="21"/>
      <c r="EJ434" s="21"/>
      <c r="EK434" s="21"/>
      <c r="EL434" s="21"/>
      <c r="EM434" s="21"/>
      <c r="EN434" s="21"/>
      <c r="EO434" s="21"/>
      <c r="EP434" s="21"/>
      <c r="EQ434" s="21"/>
      <c r="ER434" s="21"/>
      <c r="ES434" s="21"/>
      <c r="ET434" s="21"/>
      <c r="EU434" s="21"/>
      <c r="EV434" s="21"/>
      <c r="EW434" s="21"/>
      <c r="EX434" s="21"/>
      <c r="EY434" s="21"/>
      <c r="EZ434" s="21"/>
      <c r="FA434" s="21"/>
      <c r="FB434" s="21"/>
      <c r="FC434" s="21"/>
      <c r="FD434" s="21"/>
      <c r="FE434" s="21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21"/>
      <c r="FW434" s="21"/>
      <c r="FX434" s="21"/>
      <c r="FY434" s="21"/>
      <c r="FZ434" s="21"/>
      <c r="GA434" s="21"/>
      <c r="GB434" s="21"/>
      <c r="GC434" s="21"/>
      <c r="GD434" s="21"/>
      <c r="GE434" s="21"/>
      <c r="GF434" s="21"/>
      <c r="GG434" s="21"/>
      <c r="GH434" s="21"/>
      <c r="GI434" s="21"/>
      <c r="GJ434" s="21"/>
      <c r="GK434" s="21"/>
      <c r="GL434" s="21"/>
      <c r="GM434" s="21"/>
      <c r="GN434" s="21"/>
      <c r="GO434" s="21"/>
      <c r="GP434" s="21"/>
      <c r="GQ434" s="21"/>
      <c r="GR434" s="21"/>
      <c r="GS434" s="21"/>
      <c r="GT434" s="21"/>
      <c r="GU434" s="21"/>
      <c r="GV434" s="21"/>
      <c r="GW434" s="21"/>
      <c r="GX434" s="21"/>
      <c r="GY434" s="21"/>
      <c r="GZ434" s="21"/>
      <c r="HA434" s="21"/>
      <c r="HB434" s="21"/>
      <c r="HC434" s="21"/>
      <c r="HD434" s="21"/>
      <c r="HE434" s="21"/>
      <c r="HF434" s="21"/>
      <c r="HG434" s="21"/>
      <c r="HH434" s="21"/>
      <c r="HI434" s="21"/>
      <c r="HJ434" s="21"/>
      <c r="HK434" s="21"/>
      <c r="HL434" s="21"/>
      <c r="HM434" s="21"/>
      <c r="HN434" s="21"/>
      <c r="HO434" s="21"/>
      <c r="HP434" s="21"/>
      <c r="HQ434" s="21"/>
      <c r="HR434" s="21"/>
      <c r="HS434" s="21"/>
      <c r="HT434" s="21"/>
      <c r="HU434" s="21"/>
      <c r="HV434" s="21"/>
      <c r="HW434" s="21"/>
      <c r="HX434" s="21"/>
      <c r="HY434" s="21"/>
      <c r="HZ434" s="21"/>
      <c r="IA434" s="21"/>
      <c r="IB434" s="21"/>
      <c r="IC434" s="21"/>
      <c r="ID434" s="21"/>
    </row>
    <row r="435" spans="1:238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  <c r="GJ435" s="21"/>
      <c r="GK435" s="21"/>
      <c r="GL435" s="21"/>
      <c r="GM435" s="21"/>
      <c r="GN435" s="21"/>
      <c r="GO435" s="21"/>
      <c r="GP435" s="21"/>
      <c r="GQ435" s="21"/>
      <c r="GR435" s="21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21"/>
      <c r="HF435" s="21"/>
      <c r="HG435" s="21"/>
      <c r="HH435" s="21"/>
      <c r="HI435" s="21"/>
      <c r="HJ435" s="21"/>
      <c r="HK435" s="21"/>
      <c r="HL435" s="21"/>
      <c r="HM435" s="21"/>
      <c r="HN435" s="21"/>
      <c r="HO435" s="21"/>
      <c r="HP435" s="21"/>
      <c r="HQ435" s="21"/>
      <c r="HR435" s="21"/>
      <c r="HS435" s="21"/>
      <c r="HT435" s="21"/>
      <c r="HU435" s="21"/>
      <c r="HV435" s="21"/>
      <c r="HW435" s="21"/>
      <c r="HX435" s="21"/>
      <c r="HY435" s="21"/>
      <c r="HZ435" s="21"/>
      <c r="IA435" s="21"/>
      <c r="IB435" s="21"/>
      <c r="IC435" s="21"/>
      <c r="ID435" s="21"/>
    </row>
    <row r="436" spans="1:238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1"/>
      <c r="EJ436" s="21"/>
      <c r="EK436" s="21"/>
      <c r="EL436" s="21"/>
      <c r="EM436" s="21"/>
      <c r="EN436" s="21"/>
      <c r="EO436" s="21"/>
      <c r="EP436" s="21"/>
      <c r="EQ436" s="21"/>
      <c r="ER436" s="21"/>
      <c r="ES436" s="21"/>
      <c r="ET436" s="21"/>
      <c r="EU436" s="21"/>
      <c r="EV436" s="21"/>
      <c r="EW436" s="21"/>
      <c r="EX436" s="21"/>
      <c r="EY436" s="21"/>
      <c r="EZ436" s="21"/>
      <c r="FA436" s="21"/>
      <c r="FB436" s="21"/>
      <c r="FC436" s="21"/>
      <c r="FD436" s="21"/>
      <c r="FE436" s="21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21"/>
      <c r="FW436" s="21"/>
      <c r="FX436" s="21"/>
      <c r="FY436" s="21"/>
      <c r="FZ436" s="21"/>
      <c r="GA436" s="21"/>
      <c r="GB436" s="21"/>
      <c r="GC436" s="21"/>
      <c r="GD436" s="21"/>
      <c r="GE436" s="21"/>
      <c r="GF436" s="21"/>
      <c r="GG436" s="21"/>
      <c r="GH436" s="21"/>
      <c r="GI436" s="21"/>
      <c r="GJ436" s="21"/>
      <c r="GK436" s="21"/>
      <c r="GL436" s="21"/>
      <c r="GM436" s="21"/>
      <c r="GN436" s="21"/>
      <c r="GO436" s="21"/>
      <c r="GP436" s="21"/>
      <c r="GQ436" s="21"/>
      <c r="GR436" s="21"/>
      <c r="GS436" s="21"/>
      <c r="GT436" s="21"/>
      <c r="GU436" s="21"/>
      <c r="GV436" s="21"/>
      <c r="GW436" s="21"/>
      <c r="GX436" s="21"/>
      <c r="GY436" s="21"/>
      <c r="GZ436" s="21"/>
      <c r="HA436" s="21"/>
      <c r="HB436" s="21"/>
      <c r="HC436" s="21"/>
      <c r="HD436" s="21"/>
      <c r="HE436" s="21"/>
      <c r="HF436" s="21"/>
      <c r="HG436" s="21"/>
      <c r="HH436" s="21"/>
      <c r="HI436" s="21"/>
      <c r="HJ436" s="21"/>
      <c r="HK436" s="21"/>
      <c r="HL436" s="21"/>
      <c r="HM436" s="21"/>
      <c r="HN436" s="21"/>
      <c r="HO436" s="21"/>
      <c r="HP436" s="21"/>
      <c r="HQ436" s="21"/>
      <c r="HR436" s="21"/>
      <c r="HS436" s="21"/>
      <c r="HT436" s="21"/>
      <c r="HU436" s="21"/>
      <c r="HV436" s="21"/>
      <c r="HW436" s="21"/>
      <c r="HX436" s="21"/>
      <c r="HY436" s="21"/>
      <c r="HZ436" s="21"/>
      <c r="IA436" s="21"/>
      <c r="IB436" s="21"/>
      <c r="IC436" s="21"/>
      <c r="ID436" s="21"/>
    </row>
    <row r="437" spans="1:238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1"/>
      <c r="EJ437" s="21"/>
      <c r="EK437" s="21"/>
      <c r="EL437" s="21"/>
      <c r="EM437" s="21"/>
      <c r="EN437" s="21"/>
      <c r="EO437" s="21"/>
      <c r="EP437" s="21"/>
      <c r="EQ437" s="21"/>
      <c r="ER437" s="21"/>
      <c r="ES437" s="21"/>
      <c r="ET437" s="21"/>
      <c r="EU437" s="21"/>
      <c r="EV437" s="21"/>
      <c r="EW437" s="21"/>
      <c r="EX437" s="21"/>
      <c r="EY437" s="21"/>
      <c r="EZ437" s="21"/>
      <c r="FA437" s="21"/>
      <c r="FB437" s="21"/>
      <c r="FC437" s="21"/>
      <c r="FD437" s="21"/>
      <c r="FE437" s="21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21"/>
      <c r="FW437" s="21"/>
      <c r="FX437" s="21"/>
      <c r="FY437" s="21"/>
      <c r="FZ437" s="21"/>
      <c r="GA437" s="21"/>
      <c r="GB437" s="21"/>
      <c r="GC437" s="21"/>
      <c r="GD437" s="21"/>
      <c r="GE437" s="21"/>
      <c r="GF437" s="21"/>
      <c r="GG437" s="21"/>
      <c r="GH437" s="21"/>
      <c r="GI437" s="21"/>
      <c r="GJ437" s="21"/>
      <c r="GK437" s="21"/>
      <c r="GL437" s="21"/>
      <c r="GM437" s="21"/>
      <c r="GN437" s="21"/>
      <c r="GO437" s="21"/>
      <c r="GP437" s="21"/>
      <c r="GQ437" s="21"/>
      <c r="GR437" s="21"/>
      <c r="GS437" s="21"/>
      <c r="GT437" s="21"/>
      <c r="GU437" s="21"/>
      <c r="GV437" s="21"/>
      <c r="GW437" s="21"/>
      <c r="GX437" s="21"/>
      <c r="GY437" s="21"/>
      <c r="GZ437" s="21"/>
      <c r="HA437" s="21"/>
      <c r="HB437" s="21"/>
      <c r="HC437" s="21"/>
      <c r="HD437" s="21"/>
      <c r="HE437" s="21"/>
      <c r="HF437" s="21"/>
      <c r="HG437" s="21"/>
      <c r="HH437" s="21"/>
      <c r="HI437" s="21"/>
      <c r="HJ437" s="21"/>
      <c r="HK437" s="21"/>
      <c r="HL437" s="21"/>
      <c r="HM437" s="21"/>
      <c r="HN437" s="21"/>
      <c r="HO437" s="21"/>
      <c r="HP437" s="21"/>
      <c r="HQ437" s="21"/>
      <c r="HR437" s="21"/>
      <c r="HS437" s="21"/>
      <c r="HT437" s="21"/>
      <c r="HU437" s="21"/>
      <c r="HV437" s="21"/>
      <c r="HW437" s="21"/>
      <c r="HX437" s="21"/>
      <c r="HY437" s="21"/>
      <c r="HZ437" s="21"/>
      <c r="IA437" s="21"/>
      <c r="IB437" s="21"/>
      <c r="IC437" s="21"/>
      <c r="ID437" s="21"/>
    </row>
    <row r="438" spans="1:2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1"/>
      <c r="EJ438" s="21"/>
      <c r="EK438" s="21"/>
      <c r="EL438" s="21"/>
      <c r="EM438" s="21"/>
      <c r="EN438" s="21"/>
      <c r="EO438" s="21"/>
      <c r="EP438" s="21"/>
      <c r="EQ438" s="21"/>
      <c r="ER438" s="21"/>
      <c r="ES438" s="21"/>
      <c r="ET438" s="21"/>
      <c r="EU438" s="21"/>
      <c r="EV438" s="21"/>
      <c r="EW438" s="21"/>
      <c r="EX438" s="21"/>
      <c r="EY438" s="21"/>
      <c r="EZ438" s="21"/>
      <c r="FA438" s="21"/>
      <c r="FB438" s="21"/>
      <c r="FC438" s="21"/>
      <c r="FD438" s="21"/>
      <c r="FE438" s="21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21"/>
      <c r="FW438" s="21"/>
      <c r="FX438" s="21"/>
      <c r="FY438" s="21"/>
      <c r="FZ438" s="21"/>
      <c r="GA438" s="21"/>
      <c r="GB438" s="21"/>
      <c r="GC438" s="21"/>
      <c r="GD438" s="21"/>
      <c r="GE438" s="21"/>
      <c r="GF438" s="21"/>
      <c r="GG438" s="21"/>
      <c r="GH438" s="21"/>
      <c r="GI438" s="21"/>
      <c r="GJ438" s="21"/>
      <c r="GK438" s="21"/>
      <c r="GL438" s="21"/>
      <c r="GM438" s="21"/>
      <c r="GN438" s="21"/>
      <c r="GO438" s="21"/>
      <c r="GP438" s="21"/>
      <c r="GQ438" s="21"/>
      <c r="GR438" s="21"/>
      <c r="GS438" s="21"/>
      <c r="GT438" s="21"/>
      <c r="GU438" s="21"/>
      <c r="GV438" s="21"/>
      <c r="GW438" s="21"/>
      <c r="GX438" s="21"/>
      <c r="GY438" s="21"/>
      <c r="GZ438" s="21"/>
      <c r="HA438" s="21"/>
      <c r="HB438" s="21"/>
      <c r="HC438" s="21"/>
      <c r="HD438" s="21"/>
      <c r="HE438" s="21"/>
      <c r="HF438" s="21"/>
      <c r="HG438" s="21"/>
      <c r="HH438" s="21"/>
      <c r="HI438" s="21"/>
      <c r="HJ438" s="21"/>
      <c r="HK438" s="21"/>
      <c r="HL438" s="21"/>
      <c r="HM438" s="21"/>
      <c r="HN438" s="21"/>
      <c r="HO438" s="21"/>
      <c r="HP438" s="21"/>
      <c r="HQ438" s="21"/>
      <c r="HR438" s="21"/>
      <c r="HS438" s="21"/>
      <c r="HT438" s="21"/>
      <c r="HU438" s="21"/>
      <c r="HV438" s="21"/>
      <c r="HW438" s="21"/>
      <c r="HX438" s="21"/>
      <c r="HY438" s="21"/>
      <c r="HZ438" s="21"/>
      <c r="IA438" s="21"/>
      <c r="IB438" s="21"/>
      <c r="IC438" s="21"/>
      <c r="ID438" s="21"/>
    </row>
    <row r="439" spans="1:238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1"/>
      <c r="EJ439" s="21"/>
      <c r="EK439" s="21"/>
      <c r="EL439" s="21"/>
      <c r="EM439" s="21"/>
      <c r="EN439" s="21"/>
      <c r="EO439" s="21"/>
      <c r="EP439" s="21"/>
      <c r="EQ439" s="21"/>
      <c r="ER439" s="21"/>
      <c r="ES439" s="21"/>
      <c r="ET439" s="21"/>
      <c r="EU439" s="21"/>
      <c r="EV439" s="21"/>
      <c r="EW439" s="21"/>
      <c r="EX439" s="21"/>
      <c r="EY439" s="21"/>
      <c r="EZ439" s="21"/>
      <c r="FA439" s="21"/>
      <c r="FB439" s="21"/>
      <c r="FC439" s="21"/>
      <c r="FD439" s="21"/>
      <c r="FE439" s="21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21"/>
      <c r="FW439" s="21"/>
      <c r="FX439" s="21"/>
      <c r="FY439" s="21"/>
      <c r="FZ439" s="21"/>
      <c r="GA439" s="21"/>
      <c r="GB439" s="21"/>
      <c r="GC439" s="21"/>
      <c r="GD439" s="21"/>
      <c r="GE439" s="21"/>
      <c r="GF439" s="21"/>
      <c r="GG439" s="21"/>
      <c r="GH439" s="21"/>
      <c r="GI439" s="21"/>
      <c r="GJ439" s="21"/>
      <c r="GK439" s="21"/>
      <c r="GL439" s="21"/>
      <c r="GM439" s="21"/>
      <c r="GN439" s="21"/>
      <c r="GO439" s="21"/>
      <c r="GP439" s="21"/>
      <c r="GQ439" s="21"/>
      <c r="GR439" s="21"/>
      <c r="GS439" s="21"/>
      <c r="GT439" s="21"/>
      <c r="GU439" s="21"/>
      <c r="GV439" s="21"/>
      <c r="GW439" s="21"/>
      <c r="GX439" s="21"/>
      <c r="GY439" s="21"/>
      <c r="GZ439" s="21"/>
      <c r="HA439" s="21"/>
      <c r="HB439" s="21"/>
      <c r="HC439" s="21"/>
      <c r="HD439" s="21"/>
      <c r="HE439" s="21"/>
      <c r="HF439" s="21"/>
      <c r="HG439" s="21"/>
      <c r="HH439" s="21"/>
      <c r="HI439" s="21"/>
      <c r="HJ439" s="21"/>
      <c r="HK439" s="21"/>
      <c r="HL439" s="21"/>
      <c r="HM439" s="21"/>
      <c r="HN439" s="21"/>
      <c r="HO439" s="21"/>
      <c r="HP439" s="21"/>
      <c r="HQ439" s="21"/>
      <c r="HR439" s="21"/>
      <c r="HS439" s="21"/>
      <c r="HT439" s="21"/>
      <c r="HU439" s="21"/>
      <c r="HV439" s="21"/>
      <c r="HW439" s="21"/>
      <c r="HX439" s="21"/>
      <c r="HY439" s="21"/>
      <c r="HZ439" s="21"/>
      <c r="IA439" s="21"/>
      <c r="IB439" s="21"/>
      <c r="IC439" s="21"/>
      <c r="ID439" s="21"/>
    </row>
    <row r="440" spans="1:238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1"/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  <c r="GJ440" s="21"/>
      <c r="GK440" s="21"/>
      <c r="GL440" s="21"/>
      <c r="GM440" s="21"/>
      <c r="GN440" s="21"/>
      <c r="GO440" s="21"/>
      <c r="GP440" s="21"/>
      <c r="GQ440" s="21"/>
      <c r="GR440" s="21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21"/>
      <c r="HF440" s="21"/>
      <c r="HG440" s="21"/>
      <c r="HH440" s="21"/>
      <c r="HI440" s="21"/>
      <c r="HJ440" s="21"/>
      <c r="HK440" s="21"/>
      <c r="HL440" s="21"/>
      <c r="HM440" s="21"/>
      <c r="HN440" s="21"/>
      <c r="HO440" s="21"/>
      <c r="HP440" s="21"/>
      <c r="HQ440" s="21"/>
      <c r="HR440" s="21"/>
      <c r="HS440" s="21"/>
      <c r="HT440" s="21"/>
      <c r="HU440" s="21"/>
      <c r="HV440" s="21"/>
      <c r="HW440" s="21"/>
      <c r="HX440" s="21"/>
      <c r="HY440" s="21"/>
      <c r="HZ440" s="21"/>
      <c r="IA440" s="21"/>
      <c r="IB440" s="21"/>
      <c r="IC440" s="21"/>
      <c r="ID440" s="21"/>
    </row>
    <row r="441" spans="1:238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1"/>
      <c r="FD441" s="21"/>
      <c r="FE441" s="21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  <c r="GJ441" s="21"/>
      <c r="GK441" s="21"/>
      <c r="GL441" s="21"/>
      <c r="GM441" s="21"/>
      <c r="GN441" s="21"/>
      <c r="GO441" s="21"/>
      <c r="GP441" s="21"/>
      <c r="GQ441" s="21"/>
      <c r="GR441" s="21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21"/>
      <c r="HF441" s="21"/>
      <c r="HG441" s="21"/>
      <c r="HH441" s="21"/>
      <c r="HI441" s="21"/>
      <c r="HJ441" s="21"/>
      <c r="HK441" s="21"/>
      <c r="HL441" s="21"/>
      <c r="HM441" s="21"/>
      <c r="HN441" s="21"/>
      <c r="HO441" s="21"/>
      <c r="HP441" s="21"/>
      <c r="HQ441" s="21"/>
      <c r="HR441" s="21"/>
      <c r="HS441" s="21"/>
      <c r="HT441" s="21"/>
      <c r="HU441" s="21"/>
      <c r="HV441" s="21"/>
      <c r="HW441" s="21"/>
      <c r="HX441" s="21"/>
      <c r="HY441" s="21"/>
      <c r="HZ441" s="21"/>
      <c r="IA441" s="21"/>
      <c r="IB441" s="21"/>
      <c r="IC441" s="21"/>
      <c r="ID441" s="21"/>
    </row>
    <row r="442" spans="1:238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1"/>
      <c r="HG442" s="21"/>
      <c r="HH442" s="21"/>
      <c r="HI442" s="21"/>
      <c r="HJ442" s="21"/>
      <c r="HK442" s="21"/>
      <c r="HL442" s="21"/>
      <c r="HM442" s="21"/>
      <c r="HN442" s="21"/>
      <c r="HO442" s="21"/>
      <c r="HP442" s="21"/>
      <c r="HQ442" s="21"/>
      <c r="HR442" s="21"/>
      <c r="HS442" s="21"/>
      <c r="HT442" s="21"/>
      <c r="HU442" s="21"/>
      <c r="HV442" s="21"/>
      <c r="HW442" s="21"/>
      <c r="HX442" s="21"/>
      <c r="HY442" s="21"/>
      <c r="HZ442" s="21"/>
      <c r="IA442" s="21"/>
      <c r="IB442" s="21"/>
      <c r="IC442" s="21"/>
      <c r="ID442" s="21"/>
    </row>
    <row r="443" spans="1:238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1"/>
      <c r="EM443" s="21"/>
      <c r="EN443" s="21"/>
      <c r="EO443" s="21"/>
      <c r="EP443" s="21"/>
      <c r="EQ443" s="21"/>
      <c r="ER443" s="21"/>
      <c r="ES443" s="21"/>
      <c r="ET443" s="21"/>
      <c r="EU443" s="21"/>
      <c r="EV443" s="21"/>
      <c r="EW443" s="21"/>
      <c r="EX443" s="21"/>
      <c r="EY443" s="21"/>
      <c r="EZ443" s="21"/>
      <c r="FA443" s="21"/>
      <c r="FB443" s="21"/>
      <c r="FC443" s="21"/>
      <c r="FD443" s="21"/>
      <c r="FE443" s="21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21"/>
      <c r="FW443" s="21"/>
      <c r="FX443" s="21"/>
      <c r="FY443" s="21"/>
      <c r="FZ443" s="21"/>
      <c r="GA443" s="21"/>
      <c r="GB443" s="21"/>
      <c r="GC443" s="21"/>
      <c r="GD443" s="21"/>
      <c r="GE443" s="21"/>
      <c r="GF443" s="21"/>
      <c r="GG443" s="21"/>
      <c r="GH443" s="21"/>
      <c r="GI443" s="21"/>
      <c r="GJ443" s="21"/>
      <c r="GK443" s="21"/>
      <c r="GL443" s="21"/>
      <c r="GM443" s="21"/>
      <c r="GN443" s="21"/>
      <c r="GO443" s="21"/>
      <c r="GP443" s="21"/>
      <c r="GQ443" s="21"/>
      <c r="GR443" s="21"/>
      <c r="GS443" s="21"/>
      <c r="GT443" s="21"/>
      <c r="GU443" s="21"/>
      <c r="GV443" s="21"/>
      <c r="GW443" s="21"/>
      <c r="GX443" s="21"/>
      <c r="GY443" s="21"/>
      <c r="GZ443" s="21"/>
      <c r="HA443" s="21"/>
      <c r="HB443" s="21"/>
      <c r="HC443" s="21"/>
      <c r="HD443" s="21"/>
      <c r="HE443" s="21"/>
      <c r="HF443" s="21"/>
      <c r="HG443" s="21"/>
      <c r="HH443" s="21"/>
      <c r="HI443" s="21"/>
      <c r="HJ443" s="21"/>
      <c r="HK443" s="21"/>
      <c r="HL443" s="21"/>
      <c r="HM443" s="21"/>
      <c r="HN443" s="21"/>
      <c r="HO443" s="21"/>
      <c r="HP443" s="21"/>
      <c r="HQ443" s="21"/>
      <c r="HR443" s="21"/>
      <c r="HS443" s="21"/>
      <c r="HT443" s="21"/>
      <c r="HU443" s="21"/>
      <c r="HV443" s="21"/>
      <c r="HW443" s="21"/>
      <c r="HX443" s="21"/>
      <c r="HY443" s="21"/>
      <c r="HZ443" s="21"/>
      <c r="IA443" s="21"/>
      <c r="IB443" s="21"/>
      <c r="IC443" s="21"/>
      <c r="ID443" s="21"/>
    </row>
    <row r="444" spans="1:238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1"/>
      <c r="EM444" s="21"/>
      <c r="EN444" s="21"/>
      <c r="EO444" s="21"/>
      <c r="EP444" s="21"/>
      <c r="EQ444" s="21"/>
      <c r="ER444" s="21"/>
      <c r="ES444" s="21"/>
      <c r="ET444" s="21"/>
      <c r="EU444" s="21"/>
      <c r="EV444" s="21"/>
      <c r="EW444" s="21"/>
      <c r="EX444" s="21"/>
      <c r="EY444" s="21"/>
      <c r="EZ444" s="21"/>
      <c r="FA444" s="21"/>
      <c r="FB444" s="21"/>
      <c r="FC444" s="21"/>
      <c r="FD444" s="21"/>
      <c r="FE444" s="21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21"/>
      <c r="FW444" s="21"/>
      <c r="FX444" s="21"/>
      <c r="FY444" s="21"/>
      <c r="FZ444" s="21"/>
      <c r="GA444" s="21"/>
      <c r="GB444" s="21"/>
      <c r="GC444" s="21"/>
      <c r="GD444" s="21"/>
      <c r="GE444" s="21"/>
      <c r="GF444" s="21"/>
      <c r="GG444" s="21"/>
      <c r="GH444" s="21"/>
      <c r="GI444" s="21"/>
      <c r="GJ444" s="21"/>
      <c r="GK444" s="21"/>
      <c r="GL444" s="21"/>
      <c r="GM444" s="21"/>
      <c r="GN444" s="21"/>
      <c r="GO444" s="21"/>
      <c r="GP444" s="21"/>
      <c r="GQ444" s="21"/>
      <c r="GR444" s="21"/>
      <c r="GS444" s="21"/>
      <c r="GT444" s="21"/>
      <c r="GU444" s="21"/>
      <c r="GV444" s="21"/>
      <c r="GW444" s="21"/>
      <c r="GX444" s="21"/>
      <c r="GY444" s="21"/>
      <c r="GZ444" s="21"/>
      <c r="HA444" s="21"/>
      <c r="HB444" s="21"/>
      <c r="HC444" s="21"/>
      <c r="HD444" s="21"/>
      <c r="HE444" s="21"/>
      <c r="HF444" s="21"/>
      <c r="HG444" s="21"/>
      <c r="HH444" s="21"/>
      <c r="HI444" s="21"/>
      <c r="HJ444" s="21"/>
      <c r="HK444" s="21"/>
      <c r="HL444" s="21"/>
      <c r="HM444" s="21"/>
      <c r="HN444" s="21"/>
      <c r="HO444" s="21"/>
      <c r="HP444" s="21"/>
      <c r="HQ444" s="21"/>
      <c r="HR444" s="21"/>
      <c r="HS444" s="21"/>
      <c r="HT444" s="21"/>
      <c r="HU444" s="21"/>
      <c r="HV444" s="21"/>
      <c r="HW444" s="21"/>
      <c r="HX444" s="21"/>
      <c r="HY444" s="21"/>
      <c r="HZ444" s="21"/>
      <c r="IA444" s="21"/>
      <c r="IB444" s="21"/>
      <c r="IC444" s="21"/>
      <c r="ID444" s="21"/>
    </row>
    <row r="445" spans="1:238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1"/>
      <c r="EM445" s="21"/>
      <c r="EN445" s="21"/>
      <c r="EO445" s="21"/>
      <c r="EP445" s="21"/>
      <c r="EQ445" s="21"/>
      <c r="ER445" s="21"/>
      <c r="ES445" s="21"/>
      <c r="ET445" s="21"/>
      <c r="EU445" s="21"/>
      <c r="EV445" s="21"/>
      <c r="EW445" s="21"/>
      <c r="EX445" s="21"/>
      <c r="EY445" s="21"/>
      <c r="EZ445" s="21"/>
      <c r="FA445" s="21"/>
      <c r="FB445" s="21"/>
      <c r="FC445" s="21"/>
      <c r="FD445" s="21"/>
      <c r="FE445" s="21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21"/>
      <c r="FW445" s="21"/>
      <c r="FX445" s="21"/>
      <c r="FY445" s="21"/>
      <c r="FZ445" s="21"/>
      <c r="GA445" s="21"/>
      <c r="GB445" s="21"/>
      <c r="GC445" s="21"/>
      <c r="GD445" s="21"/>
      <c r="GE445" s="21"/>
      <c r="GF445" s="21"/>
      <c r="GG445" s="21"/>
      <c r="GH445" s="21"/>
      <c r="GI445" s="21"/>
      <c r="GJ445" s="21"/>
      <c r="GK445" s="21"/>
      <c r="GL445" s="21"/>
      <c r="GM445" s="21"/>
      <c r="GN445" s="21"/>
      <c r="GO445" s="21"/>
      <c r="GP445" s="21"/>
      <c r="GQ445" s="21"/>
      <c r="GR445" s="21"/>
      <c r="GS445" s="21"/>
      <c r="GT445" s="21"/>
      <c r="GU445" s="21"/>
      <c r="GV445" s="21"/>
      <c r="GW445" s="21"/>
      <c r="GX445" s="21"/>
      <c r="GY445" s="21"/>
      <c r="GZ445" s="21"/>
      <c r="HA445" s="21"/>
      <c r="HB445" s="21"/>
      <c r="HC445" s="21"/>
      <c r="HD445" s="21"/>
      <c r="HE445" s="21"/>
      <c r="HF445" s="21"/>
      <c r="HG445" s="21"/>
      <c r="HH445" s="21"/>
      <c r="HI445" s="21"/>
      <c r="HJ445" s="21"/>
      <c r="HK445" s="21"/>
      <c r="HL445" s="21"/>
      <c r="HM445" s="21"/>
      <c r="HN445" s="21"/>
      <c r="HO445" s="21"/>
      <c r="HP445" s="21"/>
      <c r="HQ445" s="21"/>
      <c r="HR445" s="21"/>
      <c r="HS445" s="21"/>
      <c r="HT445" s="21"/>
      <c r="HU445" s="21"/>
      <c r="HV445" s="21"/>
      <c r="HW445" s="21"/>
      <c r="HX445" s="21"/>
      <c r="HY445" s="21"/>
      <c r="HZ445" s="21"/>
      <c r="IA445" s="21"/>
      <c r="IB445" s="21"/>
      <c r="IC445" s="21"/>
      <c r="ID445" s="21"/>
    </row>
    <row r="446" spans="1:238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1"/>
      <c r="EM446" s="21"/>
      <c r="EN446" s="21"/>
      <c r="EO446" s="21"/>
      <c r="EP446" s="21"/>
      <c r="EQ446" s="21"/>
      <c r="ER446" s="21"/>
      <c r="ES446" s="21"/>
      <c r="ET446" s="21"/>
      <c r="EU446" s="21"/>
      <c r="EV446" s="21"/>
      <c r="EW446" s="21"/>
      <c r="EX446" s="21"/>
      <c r="EY446" s="21"/>
      <c r="EZ446" s="21"/>
      <c r="FA446" s="21"/>
      <c r="FB446" s="21"/>
      <c r="FC446" s="21"/>
      <c r="FD446" s="21"/>
      <c r="FE446" s="21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21"/>
      <c r="FW446" s="21"/>
      <c r="FX446" s="21"/>
      <c r="FY446" s="21"/>
      <c r="FZ446" s="21"/>
      <c r="GA446" s="21"/>
      <c r="GB446" s="21"/>
      <c r="GC446" s="21"/>
      <c r="GD446" s="21"/>
      <c r="GE446" s="21"/>
      <c r="GF446" s="21"/>
      <c r="GG446" s="21"/>
      <c r="GH446" s="21"/>
      <c r="GI446" s="21"/>
      <c r="GJ446" s="21"/>
      <c r="GK446" s="21"/>
      <c r="GL446" s="21"/>
      <c r="GM446" s="21"/>
      <c r="GN446" s="21"/>
      <c r="GO446" s="21"/>
      <c r="GP446" s="21"/>
      <c r="GQ446" s="21"/>
      <c r="GR446" s="21"/>
      <c r="GS446" s="21"/>
      <c r="GT446" s="21"/>
      <c r="GU446" s="21"/>
      <c r="GV446" s="21"/>
      <c r="GW446" s="21"/>
      <c r="GX446" s="21"/>
      <c r="GY446" s="21"/>
      <c r="GZ446" s="21"/>
      <c r="HA446" s="21"/>
      <c r="HB446" s="21"/>
      <c r="HC446" s="21"/>
      <c r="HD446" s="21"/>
      <c r="HE446" s="21"/>
      <c r="HF446" s="21"/>
      <c r="HG446" s="21"/>
      <c r="HH446" s="21"/>
      <c r="HI446" s="21"/>
      <c r="HJ446" s="21"/>
      <c r="HK446" s="21"/>
      <c r="HL446" s="21"/>
      <c r="HM446" s="21"/>
      <c r="HN446" s="21"/>
      <c r="HO446" s="21"/>
      <c r="HP446" s="21"/>
      <c r="HQ446" s="21"/>
      <c r="HR446" s="21"/>
      <c r="HS446" s="21"/>
      <c r="HT446" s="21"/>
      <c r="HU446" s="21"/>
      <c r="HV446" s="21"/>
      <c r="HW446" s="21"/>
      <c r="HX446" s="21"/>
      <c r="HY446" s="21"/>
      <c r="HZ446" s="21"/>
      <c r="IA446" s="21"/>
      <c r="IB446" s="21"/>
      <c r="IC446" s="21"/>
      <c r="ID446" s="21"/>
    </row>
    <row r="447" spans="1:238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/>
      <c r="EG447" s="21"/>
      <c r="EH447" s="21"/>
      <c r="EI447" s="21"/>
      <c r="EJ447" s="21"/>
      <c r="EK447" s="21"/>
      <c r="EL447" s="21"/>
      <c r="EM447" s="21"/>
      <c r="EN447" s="21"/>
      <c r="EO447" s="21"/>
      <c r="EP447" s="21"/>
      <c r="EQ447" s="21"/>
      <c r="ER447" s="21"/>
      <c r="ES447" s="21"/>
      <c r="ET447" s="21"/>
      <c r="EU447" s="21"/>
      <c r="EV447" s="21"/>
      <c r="EW447" s="21"/>
      <c r="EX447" s="21"/>
      <c r="EY447" s="21"/>
      <c r="EZ447" s="21"/>
      <c r="FA447" s="21"/>
      <c r="FB447" s="21"/>
      <c r="FC447" s="21"/>
      <c r="FD447" s="21"/>
      <c r="FE447" s="21"/>
      <c r="FF447" s="21"/>
      <c r="FG447" s="21"/>
      <c r="FH447" s="21"/>
      <c r="FI447" s="21"/>
      <c r="FJ447" s="21"/>
      <c r="FK447" s="21"/>
      <c r="FL447" s="21"/>
      <c r="FM447" s="21"/>
      <c r="FN447" s="21"/>
      <c r="FO447" s="21"/>
      <c r="FP447" s="21"/>
      <c r="FQ447" s="21"/>
      <c r="FR447" s="21"/>
      <c r="FS447" s="21"/>
      <c r="FT447" s="21"/>
      <c r="FU447" s="21"/>
      <c r="FV447" s="21"/>
      <c r="FW447" s="21"/>
      <c r="FX447" s="21"/>
      <c r="FY447" s="21"/>
      <c r="FZ447" s="21"/>
      <c r="GA447" s="21"/>
      <c r="GB447" s="21"/>
      <c r="GC447" s="21"/>
      <c r="GD447" s="21"/>
      <c r="GE447" s="21"/>
      <c r="GF447" s="21"/>
      <c r="GG447" s="21"/>
      <c r="GH447" s="21"/>
      <c r="GI447" s="21"/>
      <c r="GJ447" s="21"/>
      <c r="GK447" s="21"/>
      <c r="GL447" s="21"/>
      <c r="GM447" s="21"/>
      <c r="GN447" s="21"/>
      <c r="GO447" s="21"/>
      <c r="GP447" s="21"/>
      <c r="GQ447" s="21"/>
      <c r="GR447" s="21"/>
      <c r="GS447" s="21"/>
      <c r="GT447" s="21"/>
      <c r="GU447" s="21"/>
      <c r="GV447" s="21"/>
      <c r="GW447" s="21"/>
      <c r="GX447" s="21"/>
      <c r="GY447" s="21"/>
      <c r="GZ447" s="21"/>
      <c r="HA447" s="21"/>
      <c r="HB447" s="21"/>
      <c r="HC447" s="21"/>
      <c r="HD447" s="21"/>
      <c r="HE447" s="21"/>
      <c r="HF447" s="21"/>
      <c r="HG447" s="21"/>
      <c r="HH447" s="21"/>
      <c r="HI447" s="21"/>
      <c r="HJ447" s="21"/>
      <c r="HK447" s="21"/>
      <c r="HL447" s="21"/>
      <c r="HM447" s="21"/>
      <c r="HN447" s="21"/>
      <c r="HO447" s="21"/>
      <c r="HP447" s="21"/>
      <c r="HQ447" s="21"/>
      <c r="HR447" s="21"/>
      <c r="HS447" s="21"/>
      <c r="HT447" s="21"/>
      <c r="HU447" s="21"/>
      <c r="HV447" s="21"/>
      <c r="HW447" s="21"/>
      <c r="HX447" s="21"/>
      <c r="HY447" s="21"/>
      <c r="HZ447" s="21"/>
      <c r="IA447" s="21"/>
      <c r="IB447" s="21"/>
      <c r="IC447" s="21"/>
      <c r="ID447" s="21"/>
    </row>
    <row r="448" spans="1:23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/>
      <c r="EG448" s="21"/>
      <c r="EH448" s="21"/>
      <c r="EI448" s="21"/>
      <c r="EJ448" s="21"/>
      <c r="EK448" s="21"/>
      <c r="EL448" s="21"/>
      <c r="EM448" s="21"/>
      <c r="EN448" s="21"/>
      <c r="EO448" s="21"/>
      <c r="EP448" s="21"/>
      <c r="EQ448" s="21"/>
      <c r="ER448" s="21"/>
      <c r="ES448" s="21"/>
      <c r="ET448" s="21"/>
      <c r="EU448" s="21"/>
      <c r="EV448" s="21"/>
      <c r="EW448" s="21"/>
      <c r="EX448" s="21"/>
      <c r="EY448" s="21"/>
      <c r="EZ448" s="21"/>
      <c r="FA448" s="21"/>
      <c r="FB448" s="21"/>
      <c r="FC448" s="21"/>
      <c r="FD448" s="21"/>
      <c r="FE448" s="21"/>
      <c r="FF448" s="21"/>
      <c r="FG448" s="21"/>
      <c r="FH448" s="21"/>
      <c r="FI448" s="21"/>
      <c r="FJ448" s="21"/>
      <c r="FK448" s="21"/>
      <c r="FL448" s="21"/>
      <c r="FM448" s="21"/>
      <c r="FN448" s="21"/>
      <c r="FO448" s="21"/>
      <c r="FP448" s="21"/>
      <c r="FQ448" s="21"/>
      <c r="FR448" s="21"/>
      <c r="FS448" s="21"/>
      <c r="FT448" s="21"/>
      <c r="FU448" s="21"/>
      <c r="FV448" s="21"/>
      <c r="FW448" s="21"/>
      <c r="FX448" s="21"/>
      <c r="FY448" s="21"/>
      <c r="FZ448" s="21"/>
      <c r="GA448" s="21"/>
      <c r="GB448" s="21"/>
      <c r="GC448" s="21"/>
      <c r="GD448" s="21"/>
      <c r="GE448" s="21"/>
      <c r="GF448" s="21"/>
      <c r="GG448" s="21"/>
      <c r="GH448" s="21"/>
      <c r="GI448" s="21"/>
      <c r="GJ448" s="21"/>
      <c r="GK448" s="21"/>
      <c r="GL448" s="21"/>
      <c r="GM448" s="21"/>
      <c r="GN448" s="21"/>
      <c r="GO448" s="21"/>
      <c r="GP448" s="21"/>
      <c r="GQ448" s="21"/>
      <c r="GR448" s="21"/>
      <c r="GS448" s="21"/>
      <c r="GT448" s="21"/>
      <c r="GU448" s="21"/>
      <c r="GV448" s="21"/>
      <c r="GW448" s="21"/>
      <c r="GX448" s="21"/>
      <c r="GY448" s="21"/>
      <c r="GZ448" s="21"/>
      <c r="HA448" s="21"/>
      <c r="HB448" s="21"/>
      <c r="HC448" s="21"/>
      <c r="HD448" s="21"/>
      <c r="HE448" s="21"/>
      <c r="HF448" s="21"/>
      <c r="HG448" s="21"/>
      <c r="HH448" s="21"/>
      <c r="HI448" s="21"/>
      <c r="HJ448" s="21"/>
      <c r="HK448" s="21"/>
      <c r="HL448" s="21"/>
      <c r="HM448" s="21"/>
      <c r="HN448" s="21"/>
      <c r="HO448" s="21"/>
      <c r="HP448" s="21"/>
      <c r="HQ448" s="21"/>
      <c r="HR448" s="21"/>
      <c r="HS448" s="21"/>
      <c r="HT448" s="21"/>
      <c r="HU448" s="21"/>
      <c r="HV448" s="21"/>
      <c r="HW448" s="21"/>
      <c r="HX448" s="21"/>
      <c r="HY448" s="21"/>
      <c r="HZ448" s="21"/>
      <c r="IA448" s="21"/>
      <c r="IB448" s="21"/>
      <c r="IC448" s="21"/>
      <c r="ID448" s="21"/>
    </row>
    <row r="449" spans="1:238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/>
      <c r="EG449" s="21"/>
      <c r="EH449" s="21"/>
      <c r="EI449" s="21"/>
      <c r="EJ449" s="21"/>
      <c r="EK449" s="21"/>
      <c r="EL449" s="21"/>
      <c r="EM449" s="21"/>
      <c r="EN449" s="21"/>
      <c r="EO449" s="21"/>
      <c r="EP449" s="21"/>
      <c r="EQ449" s="21"/>
      <c r="ER449" s="21"/>
      <c r="ES449" s="21"/>
      <c r="ET449" s="21"/>
      <c r="EU449" s="21"/>
      <c r="EV449" s="21"/>
      <c r="EW449" s="21"/>
      <c r="EX449" s="21"/>
      <c r="EY449" s="21"/>
      <c r="EZ449" s="21"/>
      <c r="FA449" s="21"/>
      <c r="FB449" s="21"/>
      <c r="FC449" s="21"/>
      <c r="FD449" s="21"/>
      <c r="FE449" s="21"/>
      <c r="FF449" s="21"/>
      <c r="FG449" s="21"/>
      <c r="FH449" s="21"/>
      <c r="FI449" s="21"/>
      <c r="FJ449" s="21"/>
      <c r="FK449" s="21"/>
      <c r="FL449" s="21"/>
      <c r="FM449" s="21"/>
      <c r="FN449" s="21"/>
      <c r="FO449" s="21"/>
      <c r="FP449" s="21"/>
      <c r="FQ449" s="21"/>
      <c r="FR449" s="21"/>
      <c r="FS449" s="21"/>
      <c r="FT449" s="21"/>
      <c r="FU449" s="21"/>
      <c r="FV449" s="21"/>
      <c r="FW449" s="21"/>
      <c r="FX449" s="21"/>
      <c r="FY449" s="21"/>
      <c r="FZ449" s="21"/>
      <c r="GA449" s="21"/>
      <c r="GB449" s="21"/>
      <c r="GC449" s="21"/>
      <c r="GD449" s="21"/>
      <c r="GE449" s="21"/>
      <c r="GF449" s="21"/>
      <c r="GG449" s="21"/>
      <c r="GH449" s="21"/>
      <c r="GI449" s="21"/>
      <c r="GJ449" s="21"/>
      <c r="GK449" s="21"/>
      <c r="GL449" s="21"/>
      <c r="GM449" s="21"/>
      <c r="GN449" s="21"/>
      <c r="GO449" s="21"/>
      <c r="GP449" s="21"/>
      <c r="GQ449" s="21"/>
      <c r="GR449" s="21"/>
      <c r="GS449" s="21"/>
      <c r="GT449" s="21"/>
      <c r="GU449" s="21"/>
      <c r="GV449" s="21"/>
      <c r="GW449" s="21"/>
      <c r="GX449" s="21"/>
      <c r="GY449" s="21"/>
      <c r="GZ449" s="21"/>
      <c r="HA449" s="21"/>
      <c r="HB449" s="21"/>
      <c r="HC449" s="21"/>
      <c r="HD449" s="21"/>
      <c r="HE449" s="21"/>
      <c r="HF449" s="21"/>
      <c r="HG449" s="21"/>
      <c r="HH449" s="21"/>
      <c r="HI449" s="21"/>
      <c r="HJ449" s="21"/>
      <c r="HK449" s="21"/>
      <c r="HL449" s="21"/>
      <c r="HM449" s="21"/>
      <c r="HN449" s="21"/>
      <c r="HO449" s="21"/>
      <c r="HP449" s="21"/>
      <c r="HQ449" s="21"/>
      <c r="HR449" s="21"/>
      <c r="HS449" s="21"/>
      <c r="HT449" s="21"/>
      <c r="HU449" s="21"/>
      <c r="HV449" s="21"/>
      <c r="HW449" s="21"/>
      <c r="HX449" s="21"/>
      <c r="HY449" s="21"/>
      <c r="HZ449" s="21"/>
      <c r="IA449" s="21"/>
      <c r="IB449" s="21"/>
      <c r="IC449" s="21"/>
      <c r="ID449" s="21"/>
    </row>
    <row r="450" spans="1:238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1"/>
      <c r="EM450" s="21"/>
      <c r="EN450" s="21"/>
      <c r="EO450" s="21"/>
      <c r="EP450" s="21"/>
      <c r="EQ450" s="21"/>
      <c r="ER450" s="21"/>
      <c r="ES450" s="21"/>
      <c r="ET450" s="21"/>
      <c r="EU450" s="21"/>
      <c r="EV450" s="21"/>
      <c r="EW450" s="21"/>
      <c r="EX450" s="21"/>
      <c r="EY450" s="21"/>
      <c r="EZ450" s="21"/>
      <c r="FA450" s="21"/>
      <c r="FB450" s="21"/>
      <c r="FC450" s="21"/>
      <c r="FD450" s="21"/>
      <c r="FE450" s="21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21"/>
      <c r="FW450" s="21"/>
      <c r="FX450" s="21"/>
      <c r="FY450" s="21"/>
      <c r="FZ450" s="21"/>
      <c r="GA450" s="21"/>
      <c r="GB450" s="21"/>
      <c r="GC450" s="21"/>
      <c r="GD450" s="21"/>
      <c r="GE450" s="21"/>
      <c r="GF450" s="21"/>
      <c r="GG450" s="21"/>
      <c r="GH450" s="21"/>
      <c r="GI450" s="21"/>
      <c r="GJ450" s="21"/>
      <c r="GK450" s="21"/>
      <c r="GL450" s="21"/>
      <c r="GM450" s="21"/>
      <c r="GN450" s="21"/>
      <c r="GO450" s="21"/>
      <c r="GP450" s="21"/>
      <c r="GQ450" s="21"/>
      <c r="GR450" s="21"/>
      <c r="GS450" s="21"/>
      <c r="GT450" s="21"/>
      <c r="GU450" s="21"/>
      <c r="GV450" s="21"/>
      <c r="GW450" s="21"/>
      <c r="GX450" s="21"/>
      <c r="GY450" s="21"/>
      <c r="GZ450" s="21"/>
      <c r="HA450" s="21"/>
      <c r="HB450" s="21"/>
      <c r="HC450" s="21"/>
      <c r="HD450" s="21"/>
      <c r="HE450" s="21"/>
      <c r="HF450" s="21"/>
      <c r="HG450" s="21"/>
      <c r="HH450" s="21"/>
      <c r="HI450" s="21"/>
      <c r="HJ450" s="21"/>
      <c r="HK450" s="21"/>
      <c r="HL450" s="21"/>
      <c r="HM450" s="21"/>
      <c r="HN450" s="21"/>
      <c r="HO450" s="21"/>
      <c r="HP450" s="21"/>
      <c r="HQ450" s="21"/>
      <c r="HR450" s="21"/>
      <c r="HS450" s="21"/>
      <c r="HT450" s="21"/>
      <c r="HU450" s="21"/>
      <c r="HV450" s="21"/>
      <c r="HW450" s="21"/>
      <c r="HX450" s="21"/>
      <c r="HY450" s="21"/>
      <c r="HZ450" s="21"/>
      <c r="IA450" s="21"/>
      <c r="IB450" s="21"/>
      <c r="IC450" s="21"/>
      <c r="ID450" s="21"/>
    </row>
    <row r="451" spans="1:238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1"/>
      <c r="EM451" s="21"/>
      <c r="EN451" s="21"/>
      <c r="EO451" s="21"/>
      <c r="EP451" s="21"/>
      <c r="EQ451" s="21"/>
      <c r="ER451" s="21"/>
      <c r="ES451" s="21"/>
      <c r="ET451" s="21"/>
      <c r="EU451" s="21"/>
      <c r="EV451" s="21"/>
      <c r="EW451" s="21"/>
      <c r="EX451" s="21"/>
      <c r="EY451" s="21"/>
      <c r="EZ451" s="21"/>
      <c r="FA451" s="21"/>
      <c r="FB451" s="21"/>
      <c r="FC451" s="21"/>
      <c r="FD451" s="21"/>
      <c r="FE451" s="21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21"/>
      <c r="FW451" s="21"/>
      <c r="FX451" s="21"/>
      <c r="FY451" s="21"/>
      <c r="FZ451" s="21"/>
      <c r="GA451" s="21"/>
      <c r="GB451" s="21"/>
      <c r="GC451" s="21"/>
      <c r="GD451" s="21"/>
      <c r="GE451" s="21"/>
      <c r="GF451" s="21"/>
      <c r="GG451" s="21"/>
      <c r="GH451" s="21"/>
      <c r="GI451" s="21"/>
      <c r="GJ451" s="21"/>
      <c r="GK451" s="21"/>
      <c r="GL451" s="21"/>
      <c r="GM451" s="21"/>
      <c r="GN451" s="21"/>
      <c r="GO451" s="21"/>
      <c r="GP451" s="21"/>
      <c r="GQ451" s="21"/>
      <c r="GR451" s="21"/>
      <c r="GS451" s="21"/>
      <c r="GT451" s="21"/>
      <c r="GU451" s="21"/>
      <c r="GV451" s="21"/>
      <c r="GW451" s="21"/>
      <c r="GX451" s="21"/>
      <c r="GY451" s="21"/>
      <c r="GZ451" s="21"/>
      <c r="HA451" s="21"/>
      <c r="HB451" s="21"/>
      <c r="HC451" s="21"/>
      <c r="HD451" s="21"/>
      <c r="HE451" s="21"/>
      <c r="HF451" s="21"/>
      <c r="HG451" s="21"/>
      <c r="HH451" s="21"/>
      <c r="HI451" s="21"/>
      <c r="HJ451" s="21"/>
      <c r="HK451" s="21"/>
      <c r="HL451" s="21"/>
      <c r="HM451" s="21"/>
      <c r="HN451" s="21"/>
      <c r="HO451" s="21"/>
      <c r="HP451" s="21"/>
      <c r="HQ451" s="21"/>
      <c r="HR451" s="21"/>
      <c r="HS451" s="21"/>
      <c r="HT451" s="21"/>
      <c r="HU451" s="21"/>
      <c r="HV451" s="21"/>
      <c r="HW451" s="21"/>
      <c r="HX451" s="21"/>
      <c r="HY451" s="21"/>
      <c r="HZ451" s="21"/>
      <c r="IA451" s="21"/>
      <c r="IB451" s="21"/>
      <c r="IC451" s="21"/>
      <c r="ID451" s="21"/>
    </row>
    <row r="452" spans="1:238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1"/>
      <c r="EM452" s="21"/>
      <c r="EN452" s="21"/>
      <c r="EO452" s="21"/>
      <c r="EP452" s="21"/>
      <c r="EQ452" s="21"/>
      <c r="ER452" s="21"/>
      <c r="ES452" s="21"/>
      <c r="ET452" s="21"/>
      <c r="EU452" s="21"/>
      <c r="EV452" s="21"/>
      <c r="EW452" s="21"/>
      <c r="EX452" s="21"/>
      <c r="EY452" s="21"/>
      <c r="EZ452" s="21"/>
      <c r="FA452" s="21"/>
      <c r="FB452" s="21"/>
      <c r="FC452" s="21"/>
      <c r="FD452" s="21"/>
      <c r="FE452" s="21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21"/>
      <c r="FW452" s="21"/>
      <c r="FX452" s="21"/>
      <c r="FY452" s="21"/>
      <c r="FZ452" s="21"/>
      <c r="GA452" s="21"/>
      <c r="GB452" s="21"/>
      <c r="GC452" s="21"/>
      <c r="GD452" s="21"/>
      <c r="GE452" s="21"/>
      <c r="GF452" s="21"/>
      <c r="GG452" s="21"/>
      <c r="GH452" s="21"/>
      <c r="GI452" s="21"/>
      <c r="GJ452" s="21"/>
      <c r="GK452" s="21"/>
      <c r="GL452" s="21"/>
      <c r="GM452" s="21"/>
      <c r="GN452" s="21"/>
      <c r="GO452" s="21"/>
      <c r="GP452" s="21"/>
      <c r="GQ452" s="21"/>
      <c r="GR452" s="21"/>
      <c r="GS452" s="21"/>
      <c r="GT452" s="21"/>
      <c r="GU452" s="21"/>
      <c r="GV452" s="21"/>
      <c r="GW452" s="21"/>
      <c r="GX452" s="21"/>
      <c r="GY452" s="21"/>
      <c r="GZ452" s="21"/>
      <c r="HA452" s="21"/>
      <c r="HB452" s="21"/>
      <c r="HC452" s="21"/>
      <c r="HD452" s="21"/>
      <c r="HE452" s="21"/>
      <c r="HF452" s="21"/>
      <c r="HG452" s="21"/>
      <c r="HH452" s="21"/>
      <c r="HI452" s="21"/>
      <c r="HJ452" s="21"/>
      <c r="HK452" s="21"/>
      <c r="HL452" s="21"/>
      <c r="HM452" s="21"/>
      <c r="HN452" s="21"/>
      <c r="HO452" s="21"/>
      <c r="HP452" s="21"/>
      <c r="HQ452" s="21"/>
      <c r="HR452" s="21"/>
      <c r="HS452" s="21"/>
      <c r="HT452" s="21"/>
      <c r="HU452" s="21"/>
      <c r="HV452" s="21"/>
      <c r="HW452" s="21"/>
      <c r="HX452" s="21"/>
      <c r="HY452" s="21"/>
      <c r="HZ452" s="21"/>
      <c r="IA452" s="21"/>
      <c r="IB452" s="21"/>
      <c r="IC452" s="21"/>
      <c r="ID452" s="21"/>
    </row>
    <row r="453" spans="1:238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/>
      <c r="EG453" s="21"/>
      <c r="EH453" s="21"/>
      <c r="EI453" s="21"/>
      <c r="EJ453" s="21"/>
      <c r="EK453" s="21"/>
      <c r="EL453" s="21"/>
      <c r="EM453" s="21"/>
      <c r="EN453" s="21"/>
      <c r="EO453" s="21"/>
      <c r="EP453" s="21"/>
      <c r="EQ453" s="21"/>
      <c r="ER453" s="21"/>
      <c r="ES453" s="21"/>
      <c r="ET453" s="21"/>
      <c r="EU453" s="21"/>
      <c r="EV453" s="21"/>
      <c r="EW453" s="21"/>
      <c r="EX453" s="21"/>
      <c r="EY453" s="21"/>
      <c r="EZ453" s="21"/>
      <c r="FA453" s="21"/>
      <c r="FB453" s="21"/>
      <c r="FC453" s="21"/>
      <c r="FD453" s="21"/>
      <c r="FE453" s="21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21"/>
      <c r="FW453" s="21"/>
      <c r="FX453" s="21"/>
      <c r="FY453" s="21"/>
      <c r="FZ453" s="21"/>
      <c r="GA453" s="21"/>
      <c r="GB453" s="21"/>
      <c r="GC453" s="21"/>
      <c r="GD453" s="21"/>
      <c r="GE453" s="21"/>
      <c r="GF453" s="21"/>
      <c r="GG453" s="21"/>
      <c r="GH453" s="21"/>
      <c r="GI453" s="21"/>
      <c r="GJ453" s="21"/>
      <c r="GK453" s="21"/>
      <c r="GL453" s="21"/>
      <c r="GM453" s="21"/>
      <c r="GN453" s="21"/>
      <c r="GO453" s="21"/>
      <c r="GP453" s="21"/>
      <c r="GQ453" s="21"/>
      <c r="GR453" s="21"/>
      <c r="GS453" s="21"/>
      <c r="GT453" s="21"/>
      <c r="GU453" s="21"/>
      <c r="GV453" s="21"/>
      <c r="GW453" s="21"/>
      <c r="GX453" s="21"/>
      <c r="GY453" s="21"/>
      <c r="GZ453" s="21"/>
      <c r="HA453" s="21"/>
      <c r="HB453" s="21"/>
      <c r="HC453" s="21"/>
      <c r="HD453" s="21"/>
      <c r="HE453" s="21"/>
      <c r="HF453" s="21"/>
      <c r="HG453" s="21"/>
      <c r="HH453" s="21"/>
      <c r="HI453" s="21"/>
      <c r="HJ453" s="21"/>
      <c r="HK453" s="21"/>
      <c r="HL453" s="21"/>
      <c r="HM453" s="21"/>
      <c r="HN453" s="21"/>
      <c r="HO453" s="21"/>
      <c r="HP453" s="21"/>
      <c r="HQ453" s="21"/>
      <c r="HR453" s="21"/>
      <c r="HS453" s="21"/>
      <c r="HT453" s="21"/>
      <c r="HU453" s="21"/>
      <c r="HV453" s="21"/>
      <c r="HW453" s="21"/>
      <c r="HX453" s="21"/>
      <c r="HY453" s="21"/>
      <c r="HZ453" s="21"/>
      <c r="IA453" s="21"/>
      <c r="IB453" s="21"/>
      <c r="IC453" s="21"/>
      <c r="ID453" s="21"/>
    </row>
    <row r="454" spans="1:238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/>
      <c r="EG454" s="21"/>
      <c r="EH454" s="21"/>
      <c r="EI454" s="21"/>
      <c r="EJ454" s="21"/>
      <c r="EK454" s="21"/>
      <c r="EL454" s="21"/>
      <c r="EM454" s="21"/>
      <c r="EN454" s="21"/>
      <c r="EO454" s="21"/>
      <c r="EP454" s="21"/>
      <c r="EQ454" s="21"/>
      <c r="ER454" s="21"/>
      <c r="ES454" s="21"/>
      <c r="ET454" s="21"/>
      <c r="EU454" s="21"/>
      <c r="EV454" s="21"/>
      <c r="EW454" s="21"/>
      <c r="EX454" s="21"/>
      <c r="EY454" s="21"/>
      <c r="EZ454" s="21"/>
      <c r="FA454" s="21"/>
      <c r="FB454" s="21"/>
      <c r="FC454" s="21"/>
      <c r="FD454" s="21"/>
      <c r="FE454" s="21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21"/>
      <c r="FW454" s="21"/>
      <c r="FX454" s="21"/>
      <c r="FY454" s="21"/>
      <c r="FZ454" s="21"/>
      <c r="GA454" s="21"/>
      <c r="GB454" s="21"/>
      <c r="GC454" s="21"/>
      <c r="GD454" s="21"/>
      <c r="GE454" s="21"/>
      <c r="GF454" s="21"/>
      <c r="GG454" s="21"/>
      <c r="GH454" s="21"/>
      <c r="GI454" s="21"/>
      <c r="GJ454" s="21"/>
      <c r="GK454" s="21"/>
      <c r="GL454" s="21"/>
      <c r="GM454" s="21"/>
      <c r="GN454" s="21"/>
      <c r="GO454" s="21"/>
      <c r="GP454" s="21"/>
      <c r="GQ454" s="21"/>
      <c r="GR454" s="21"/>
      <c r="GS454" s="21"/>
      <c r="GT454" s="21"/>
      <c r="GU454" s="21"/>
      <c r="GV454" s="21"/>
      <c r="GW454" s="21"/>
      <c r="GX454" s="21"/>
      <c r="GY454" s="21"/>
      <c r="GZ454" s="21"/>
      <c r="HA454" s="21"/>
      <c r="HB454" s="21"/>
      <c r="HC454" s="21"/>
      <c r="HD454" s="21"/>
      <c r="HE454" s="21"/>
      <c r="HF454" s="21"/>
      <c r="HG454" s="21"/>
      <c r="HH454" s="21"/>
      <c r="HI454" s="21"/>
      <c r="HJ454" s="21"/>
      <c r="HK454" s="21"/>
      <c r="HL454" s="21"/>
      <c r="HM454" s="21"/>
      <c r="HN454" s="21"/>
      <c r="HO454" s="21"/>
      <c r="HP454" s="21"/>
      <c r="HQ454" s="21"/>
      <c r="HR454" s="21"/>
      <c r="HS454" s="21"/>
      <c r="HT454" s="21"/>
      <c r="HU454" s="21"/>
      <c r="HV454" s="21"/>
      <c r="HW454" s="21"/>
      <c r="HX454" s="21"/>
      <c r="HY454" s="21"/>
      <c r="HZ454" s="21"/>
      <c r="IA454" s="21"/>
      <c r="IB454" s="21"/>
      <c r="IC454" s="21"/>
      <c r="ID454" s="21"/>
    </row>
    <row r="455" spans="1:238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/>
      <c r="EG455" s="21"/>
      <c r="EH455" s="21"/>
      <c r="EI455" s="21"/>
      <c r="EJ455" s="21"/>
      <c r="EK455" s="21"/>
      <c r="EL455" s="21"/>
      <c r="EM455" s="21"/>
      <c r="EN455" s="21"/>
      <c r="EO455" s="21"/>
      <c r="EP455" s="21"/>
      <c r="EQ455" s="21"/>
      <c r="ER455" s="21"/>
      <c r="ES455" s="21"/>
      <c r="ET455" s="21"/>
      <c r="EU455" s="21"/>
      <c r="EV455" s="21"/>
      <c r="EW455" s="21"/>
      <c r="EX455" s="21"/>
      <c r="EY455" s="21"/>
      <c r="EZ455" s="21"/>
      <c r="FA455" s="21"/>
      <c r="FB455" s="21"/>
      <c r="FC455" s="21"/>
      <c r="FD455" s="21"/>
      <c r="FE455" s="21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21"/>
      <c r="FW455" s="21"/>
      <c r="FX455" s="21"/>
      <c r="FY455" s="21"/>
      <c r="FZ455" s="21"/>
      <c r="GA455" s="21"/>
      <c r="GB455" s="21"/>
      <c r="GC455" s="21"/>
      <c r="GD455" s="21"/>
      <c r="GE455" s="21"/>
      <c r="GF455" s="21"/>
      <c r="GG455" s="21"/>
      <c r="GH455" s="21"/>
      <c r="GI455" s="21"/>
      <c r="GJ455" s="21"/>
      <c r="GK455" s="21"/>
      <c r="GL455" s="21"/>
      <c r="GM455" s="21"/>
      <c r="GN455" s="21"/>
      <c r="GO455" s="21"/>
      <c r="GP455" s="21"/>
      <c r="GQ455" s="21"/>
      <c r="GR455" s="21"/>
      <c r="GS455" s="21"/>
      <c r="GT455" s="21"/>
      <c r="GU455" s="21"/>
      <c r="GV455" s="21"/>
      <c r="GW455" s="21"/>
      <c r="GX455" s="21"/>
      <c r="GY455" s="21"/>
      <c r="GZ455" s="21"/>
      <c r="HA455" s="21"/>
      <c r="HB455" s="21"/>
      <c r="HC455" s="21"/>
      <c r="HD455" s="21"/>
      <c r="HE455" s="21"/>
      <c r="HF455" s="21"/>
      <c r="HG455" s="21"/>
      <c r="HH455" s="21"/>
      <c r="HI455" s="21"/>
      <c r="HJ455" s="21"/>
      <c r="HK455" s="21"/>
      <c r="HL455" s="21"/>
      <c r="HM455" s="21"/>
      <c r="HN455" s="21"/>
      <c r="HO455" s="21"/>
      <c r="HP455" s="21"/>
      <c r="HQ455" s="21"/>
      <c r="HR455" s="21"/>
      <c r="HS455" s="21"/>
      <c r="HT455" s="21"/>
      <c r="HU455" s="21"/>
      <c r="HV455" s="21"/>
      <c r="HW455" s="21"/>
      <c r="HX455" s="21"/>
      <c r="HY455" s="21"/>
      <c r="HZ455" s="21"/>
      <c r="IA455" s="21"/>
      <c r="IB455" s="21"/>
      <c r="IC455" s="21"/>
      <c r="ID455" s="21"/>
    </row>
    <row r="456" spans="1:238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/>
      <c r="GG456" s="21"/>
      <c r="GH456" s="21"/>
      <c r="GI456" s="21"/>
      <c r="GJ456" s="21"/>
      <c r="GK456" s="21"/>
      <c r="GL456" s="21"/>
      <c r="GM456" s="21"/>
      <c r="GN456" s="21"/>
      <c r="GO456" s="21"/>
      <c r="GP456" s="21"/>
      <c r="GQ456" s="21"/>
      <c r="GR456" s="21"/>
      <c r="GS456" s="21"/>
      <c r="GT456" s="21"/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21"/>
      <c r="HF456" s="21"/>
      <c r="HG456" s="21"/>
      <c r="HH456" s="21"/>
      <c r="HI456" s="21"/>
      <c r="HJ456" s="21"/>
      <c r="HK456" s="21"/>
      <c r="HL456" s="21"/>
      <c r="HM456" s="21"/>
      <c r="HN456" s="21"/>
      <c r="HO456" s="21"/>
      <c r="HP456" s="21"/>
      <c r="HQ456" s="21"/>
      <c r="HR456" s="21"/>
      <c r="HS456" s="21"/>
      <c r="HT456" s="21"/>
      <c r="HU456" s="21"/>
      <c r="HV456" s="21"/>
      <c r="HW456" s="21"/>
      <c r="HX456" s="21"/>
      <c r="HY456" s="21"/>
      <c r="HZ456" s="21"/>
      <c r="IA456" s="21"/>
      <c r="IB456" s="21"/>
      <c r="IC456" s="21"/>
      <c r="ID456" s="21"/>
    </row>
    <row r="457" spans="1:238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/>
      <c r="EG457" s="21"/>
      <c r="EH457" s="21"/>
      <c r="EI457" s="21"/>
      <c r="EJ457" s="21"/>
      <c r="EK457" s="21"/>
      <c r="EL457" s="21"/>
      <c r="EM457" s="21"/>
      <c r="EN457" s="21"/>
      <c r="EO457" s="21"/>
      <c r="EP457" s="21"/>
      <c r="EQ457" s="21"/>
      <c r="ER457" s="21"/>
      <c r="ES457" s="21"/>
      <c r="ET457" s="21"/>
      <c r="EU457" s="21"/>
      <c r="EV457" s="21"/>
      <c r="EW457" s="21"/>
      <c r="EX457" s="21"/>
      <c r="EY457" s="21"/>
      <c r="EZ457" s="21"/>
      <c r="FA457" s="21"/>
      <c r="FB457" s="21"/>
      <c r="FC457" s="21"/>
      <c r="FD457" s="21"/>
      <c r="FE457" s="21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21"/>
      <c r="FW457" s="21"/>
      <c r="FX457" s="21"/>
      <c r="FY457" s="21"/>
      <c r="FZ457" s="21"/>
      <c r="GA457" s="21"/>
      <c r="GB457" s="21"/>
      <c r="GC457" s="21"/>
      <c r="GD457" s="21"/>
      <c r="GE457" s="21"/>
      <c r="GF457" s="21"/>
      <c r="GG457" s="21"/>
      <c r="GH457" s="21"/>
      <c r="GI457" s="21"/>
      <c r="GJ457" s="21"/>
      <c r="GK457" s="21"/>
      <c r="GL457" s="21"/>
      <c r="GM457" s="21"/>
      <c r="GN457" s="21"/>
      <c r="GO457" s="21"/>
      <c r="GP457" s="21"/>
      <c r="GQ457" s="21"/>
      <c r="GR457" s="21"/>
      <c r="GS457" s="21"/>
      <c r="GT457" s="21"/>
      <c r="GU457" s="21"/>
      <c r="GV457" s="21"/>
      <c r="GW457" s="21"/>
      <c r="GX457" s="21"/>
      <c r="GY457" s="21"/>
      <c r="GZ457" s="21"/>
      <c r="HA457" s="21"/>
      <c r="HB457" s="21"/>
      <c r="HC457" s="21"/>
      <c r="HD457" s="21"/>
      <c r="HE457" s="21"/>
      <c r="HF457" s="21"/>
      <c r="HG457" s="21"/>
      <c r="HH457" s="21"/>
      <c r="HI457" s="21"/>
      <c r="HJ457" s="21"/>
      <c r="HK457" s="21"/>
      <c r="HL457" s="21"/>
      <c r="HM457" s="21"/>
      <c r="HN457" s="21"/>
      <c r="HO457" s="21"/>
      <c r="HP457" s="21"/>
      <c r="HQ457" s="21"/>
      <c r="HR457" s="21"/>
      <c r="HS457" s="21"/>
      <c r="HT457" s="21"/>
      <c r="HU457" s="21"/>
      <c r="HV457" s="21"/>
      <c r="HW457" s="21"/>
      <c r="HX457" s="21"/>
      <c r="HY457" s="21"/>
      <c r="HZ457" s="21"/>
      <c r="IA457" s="21"/>
      <c r="IB457" s="21"/>
      <c r="IC457" s="21"/>
      <c r="ID457" s="21"/>
    </row>
    <row r="458" spans="1:23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  <c r="GJ458" s="21"/>
      <c r="GK458" s="21"/>
      <c r="GL458" s="21"/>
      <c r="GM458" s="21"/>
      <c r="GN458" s="21"/>
      <c r="GO458" s="21"/>
      <c r="GP458" s="21"/>
      <c r="GQ458" s="21"/>
      <c r="GR458" s="21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21"/>
      <c r="HF458" s="21"/>
      <c r="HG458" s="21"/>
      <c r="HH458" s="21"/>
      <c r="HI458" s="21"/>
      <c r="HJ458" s="21"/>
      <c r="HK458" s="21"/>
      <c r="HL458" s="21"/>
      <c r="HM458" s="21"/>
      <c r="HN458" s="21"/>
      <c r="HO458" s="21"/>
      <c r="HP458" s="21"/>
      <c r="HQ458" s="21"/>
      <c r="HR458" s="21"/>
      <c r="HS458" s="21"/>
      <c r="HT458" s="21"/>
      <c r="HU458" s="21"/>
      <c r="HV458" s="21"/>
      <c r="HW458" s="21"/>
      <c r="HX458" s="21"/>
      <c r="HY458" s="21"/>
      <c r="HZ458" s="21"/>
      <c r="IA458" s="21"/>
      <c r="IB458" s="21"/>
      <c r="IC458" s="21"/>
      <c r="ID458" s="21"/>
    </row>
    <row r="459" spans="1:238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/>
      <c r="EG459" s="21"/>
      <c r="EH459" s="21"/>
      <c r="EI459" s="21"/>
      <c r="EJ459" s="21"/>
      <c r="EK459" s="21"/>
      <c r="EL459" s="21"/>
      <c r="EM459" s="21"/>
      <c r="EN459" s="21"/>
      <c r="EO459" s="21"/>
      <c r="EP459" s="21"/>
      <c r="EQ459" s="21"/>
      <c r="ER459" s="21"/>
      <c r="ES459" s="21"/>
      <c r="ET459" s="21"/>
      <c r="EU459" s="21"/>
      <c r="EV459" s="21"/>
      <c r="EW459" s="21"/>
      <c r="EX459" s="21"/>
      <c r="EY459" s="21"/>
      <c r="EZ459" s="21"/>
      <c r="FA459" s="21"/>
      <c r="FB459" s="21"/>
      <c r="FC459" s="21"/>
      <c r="FD459" s="21"/>
      <c r="FE459" s="21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21"/>
      <c r="FW459" s="21"/>
      <c r="FX459" s="21"/>
      <c r="FY459" s="21"/>
      <c r="FZ459" s="21"/>
      <c r="GA459" s="21"/>
      <c r="GB459" s="21"/>
      <c r="GC459" s="21"/>
      <c r="GD459" s="21"/>
      <c r="GE459" s="21"/>
      <c r="GF459" s="21"/>
      <c r="GG459" s="21"/>
      <c r="GH459" s="21"/>
      <c r="GI459" s="21"/>
      <c r="GJ459" s="21"/>
      <c r="GK459" s="21"/>
      <c r="GL459" s="21"/>
      <c r="GM459" s="21"/>
      <c r="GN459" s="21"/>
      <c r="GO459" s="21"/>
      <c r="GP459" s="21"/>
      <c r="GQ459" s="21"/>
      <c r="GR459" s="21"/>
      <c r="GS459" s="21"/>
      <c r="GT459" s="21"/>
      <c r="GU459" s="21"/>
      <c r="GV459" s="21"/>
      <c r="GW459" s="21"/>
      <c r="GX459" s="21"/>
      <c r="GY459" s="21"/>
      <c r="GZ459" s="21"/>
      <c r="HA459" s="21"/>
      <c r="HB459" s="21"/>
      <c r="HC459" s="21"/>
      <c r="HD459" s="21"/>
      <c r="HE459" s="21"/>
      <c r="HF459" s="21"/>
      <c r="HG459" s="21"/>
      <c r="HH459" s="21"/>
      <c r="HI459" s="21"/>
      <c r="HJ459" s="21"/>
      <c r="HK459" s="21"/>
      <c r="HL459" s="21"/>
      <c r="HM459" s="21"/>
      <c r="HN459" s="21"/>
      <c r="HO459" s="21"/>
      <c r="HP459" s="21"/>
      <c r="HQ459" s="21"/>
      <c r="HR459" s="21"/>
      <c r="HS459" s="21"/>
      <c r="HT459" s="21"/>
      <c r="HU459" s="21"/>
      <c r="HV459" s="21"/>
      <c r="HW459" s="21"/>
      <c r="HX459" s="21"/>
      <c r="HY459" s="21"/>
      <c r="HZ459" s="21"/>
      <c r="IA459" s="21"/>
      <c r="IB459" s="21"/>
      <c r="IC459" s="21"/>
      <c r="ID459" s="21"/>
    </row>
    <row r="460" spans="1:238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/>
      <c r="EG460" s="21"/>
      <c r="EH460" s="21"/>
      <c r="EI460" s="21"/>
      <c r="EJ460" s="21"/>
      <c r="EK460" s="21"/>
      <c r="EL460" s="21"/>
      <c r="EM460" s="21"/>
      <c r="EN460" s="21"/>
      <c r="EO460" s="21"/>
      <c r="EP460" s="21"/>
      <c r="EQ460" s="21"/>
      <c r="ER460" s="21"/>
      <c r="ES460" s="21"/>
      <c r="ET460" s="21"/>
      <c r="EU460" s="21"/>
      <c r="EV460" s="21"/>
      <c r="EW460" s="21"/>
      <c r="EX460" s="21"/>
      <c r="EY460" s="21"/>
      <c r="EZ460" s="21"/>
      <c r="FA460" s="21"/>
      <c r="FB460" s="21"/>
      <c r="FC460" s="21"/>
      <c r="FD460" s="21"/>
      <c r="FE460" s="21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21"/>
      <c r="FW460" s="21"/>
      <c r="FX460" s="21"/>
      <c r="FY460" s="21"/>
      <c r="FZ460" s="21"/>
      <c r="GA460" s="21"/>
      <c r="GB460" s="21"/>
      <c r="GC460" s="21"/>
      <c r="GD460" s="21"/>
      <c r="GE460" s="21"/>
      <c r="GF460" s="21"/>
      <c r="GG460" s="21"/>
      <c r="GH460" s="21"/>
      <c r="GI460" s="21"/>
      <c r="GJ460" s="21"/>
      <c r="GK460" s="21"/>
      <c r="GL460" s="21"/>
      <c r="GM460" s="21"/>
      <c r="GN460" s="21"/>
      <c r="GO460" s="21"/>
      <c r="GP460" s="21"/>
      <c r="GQ460" s="21"/>
      <c r="GR460" s="21"/>
      <c r="GS460" s="21"/>
      <c r="GT460" s="21"/>
      <c r="GU460" s="21"/>
      <c r="GV460" s="21"/>
      <c r="GW460" s="21"/>
      <c r="GX460" s="21"/>
      <c r="GY460" s="21"/>
      <c r="GZ460" s="21"/>
      <c r="HA460" s="21"/>
      <c r="HB460" s="21"/>
      <c r="HC460" s="21"/>
      <c r="HD460" s="21"/>
      <c r="HE460" s="21"/>
      <c r="HF460" s="21"/>
      <c r="HG460" s="21"/>
      <c r="HH460" s="21"/>
      <c r="HI460" s="21"/>
      <c r="HJ460" s="21"/>
      <c r="HK460" s="21"/>
      <c r="HL460" s="21"/>
      <c r="HM460" s="21"/>
      <c r="HN460" s="21"/>
      <c r="HO460" s="21"/>
      <c r="HP460" s="21"/>
      <c r="HQ460" s="21"/>
      <c r="HR460" s="21"/>
      <c r="HS460" s="21"/>
      <c r="HT460" s="21"/>
      <c r="HU460" s="21"/>
      <c r="HV460" s="21"/>
      <c r="HW460" s="21"/>
      <c r="HX460" s="21"/>
      <c r="HY460" s="21"/>
      <c r="HZ460" s="21"/>
      <c r="IA460" s="21"/>
      <c r="IB460" s="21"/>
      <c r="IC460" s="21"/>
      <c r="ID460" s="21"/>
    </row>
    <row r="461" spans="1:238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/>
      <c r="EG461" s="21"/>
      <c r="EH461" s="21"/>
      <c r="EI461" s="21"/>
      <c r="EJ461" s="21"/>
      <c r="EK461" s="21"/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  <c r="GJ461" s="21"/>
      <c r="GK461" s="21"/>
      <c r="GL461" s="21"/>
      <c r="GM461" s="21"/>
      <c r="GN461" s="21"/>
      <c r="GO461" s="21"/>
      <c r="GP461" s="21"/>
      <c r="GQ461" s="21"/>
      <c r="GR461" s="21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21"/>
      <c r="HF461" s="21"/>
      <c r="HG461" s="21"/>
      <c r="HH461" s="21"/>
      <c r="HI461" s="21"/>
      <c r="HJ461" s="21"/>
      <c r="HK461" s="21"/>
      <c r="HL461" s="21"/>
      <c r="HM461" s="21"/>
      <c r="HN461" s="21"/>
      <c r="HO461" s="21"/>
      <c r="HP461" s="21"/>
      <c r="HQ461" s="21"/>
      <c r="HR461" s="21"/>
      <c r="HS461" s="21"/>
      <c r="HT461" s="21"/>
      <c r="HU461" s="21"/>
      <c r="HV461" s="21"/>
      <c r="HW461" s="21"/>
      <c r="HX461" s="21"/>
      <c r="HY461" s="21"/>
      <c r="HZ461" s="21"/>
      <c r="IA461" s="21"/>
      <c r="IB461" s="21"/>
      <c r="IC461" s="21"/>
      <c r="ID461" s="21"/>
    </row>
    <row r="462" spans="1:238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/>
      <c r="EG462" s="21"/>
      <c r="EH462" s="21"/>
      <c r="EI462" s="21"/>
      <c r="EJ462" s="21"/>
      <c r="EK462" s="21"/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  <c r="GJ462" s="21"/>
      <c r="GK462" s="21"/>
      <c r="GL462" s="21"/>
      <c r="GM462" s="21"/>
      <c r="GN462" s="21"/>
      <c r="GO462" s="21"/>
      <c r="GP462" s="21"/>
      <c r="GQ462" s="21"/>
      <c r="GR462" s="21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21"/>
      <c r="HF462" s="21"/>
      <c r="HG462" s="21"/>
      <c r="HH462" s="21"/>
      <c r="HI462" s="21"/>
      <c r="HJ462" s="21"/>
      <c r="HK462" s="21"/>
      <c r="HL462" s="21"/>
      <c r="HM462" s="21"/>
      <c r="HN462" s="21"/>
      <c r="HO462" s="21"/>
      <c r="HP462" s="21"/>
      <c r="HQ462" s="21"/>
      <c r="HR462" s="21"/>
      <c r="HS462" s="21"/>
      <c r="HT462" s="21"/>
      <c r="HU462" s="21"/>
      <c r="HV462" s="21"/>
      <c r="HW462" s="21"/>
      <c r="HX462" s="21"/>
      <c r="HY462" s="21"/>
      <c r="HZ462" s="21"/>
      <c r="IA462" s="21"/>
      <c r="IB462" s="21"/>
      <c r="IC462" s="21"/>
      <c r="ID462" s="21"/>
    </row>
    <row r="463" spans="1:238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/>
      <c r="EG463" s="21"/>
      <c r="EH463" s="21"/>
      <c r="EI463" s="21"/>
      <c r="EJ463" s="21"/>
      <c r="EK463" s="21"/>
      <c r="EL463" s="21"/>
      <c r="EM463" s="21"/>
      <c r="EN463" s="21"/>
      <c r="EO463" s="21"/>
      <c r="EP463" s="21"/>
      <c r="EQ463" s="21"/>
      <c r="ER463" s="21"/>
      <c r="ES463" s="21"/>
      <c r="ET463" s="21"/>
      <c r="EU463" s="21"/>
      <c r="EV463" s="21"/>
      <c r="EW463" s="21"/>
      <c r="EX463" s="21"/>
      <c r="EY463" s="21"/>
      <c r="EZ463" s="21"/>
      <c r="FA463" s="21"/>
      <c r="FB463" s="21"/>
      <c r="FC463" s="21"/>
      <c r="FD463" s="21"/>
      <c r="FE463" s="21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21"/>
      <c r="FW463" s="21"/>
      <c r="FX463" s="21"/>
      <c r="FY463" s="21"/>
      <c r="FZ463" s="21"/>
      <c r="GA463" s="21"/>
      <c r="GB463" s="21"/>
      <c r="GC463" s="21"/>
      <c r="GD463" s="21"/>
      <c r="GE463" s="21"/>
      <c r="GF463" s="21"/>
      <c r="GG463" s="21"/>
      <c r="GH463" s="21"/>
      <c r="GI463" s="21"/>
      <c r="GJ463" s="21"/>
      <c r="GK463" s="21"/>
      <c r="GL463" s="21"/>
      <c r="GM463" s="21"/>
      <c r="GN463" s="21"/>
      <c r="GO463" s="21"/>
      <c r="GP463" s="21"/>
      <c r="GQ463" s="21"/>
      <c r="GR463" s="21"/>
      <c r="GS463" s="21"/>
      <c r="GT463" s="21"/>
      <c r="GU463" s="21"/>
      <c r="GV463" s="21"/>
      <c r="GW463" s="21"/>
      <c r="GX463" s="21"/>
      <c r="GY463" s="21"/>
      <c r="GZ463" s="21"/>
      <c r="HA463" s="21"/>
      <c r="HB463" s="21"/>
      <c r="HC463" s="21"/>
      <c r="HD463" s="21"/>
      <c r="HE463" s="21"/>
      <c r="HF463" s="21"/>
      <c r="HG463" s="21"/>
      <c r="HH463" s="21"/>
      <c r="HI463" s="21"/>
      <c r="HJ463" s="21"/>
      <c r="HK463" s="21"/>
      <c r="HL463" s="21"/>
      <c r="HM463" s="21"/>
      <c r="HN463" s="21"/>
      <c r="HO463" s="21"/>
      <c r="HP463" s="21"/>
      <c r="HQ463" s="21"/>
      <c r="HR463" s="21"/>
      <c r="HS463" s="21"/>
      <c r="HT463" s="21"/>
      <c r="HU463" s="21"/>
      <c r="HV463" s="21"/>
      <c r="HW463" s="21"/>
      <c r="HX463" s="21"/>
      <c r="HY463" s="21"/>
      <c r="HZ463" s="21"/>
      <c r="IA463" s="21"/>
      <c r="IB463" s="21"/>
      <c r="IC463" s="21"/>
      <c r="ID463" s="21"/>
    </row>
    <row r="464" spans="1:238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  <c r="DB464" s="21"/>
      <c r="DC464" s="21"/>
      <c r="DD464" s="21"/>
      <c r="DE464" s="21"/>
      <c r="DF464" s="21"/>
      <c r="DG464" s="21"/>
      <c r="DH464" s="21"/>
      <c r="DI464" s="21"/>
      <c r="DJ464" s="21"/>
      <c r="DK464" s="21"/>
      <c r="DL464" s="21"/>
      <c r="DM464" s="21"/>
      <c r="DN464" s="21"/>
      <c r="DO464" s="21"/>
      <c r="DP464" s="21"/>
      <c r="DQ464" s="21"/>
      <c r="DR464" s="21"/>
      <c r="DS464" s="21"/>
      <c r="DT464" s="21"/>
      <c r="DU464" s="21"/>
      <c r="DV464" s="21"/>
      <c r="DW464" s="21"/>
      <c r="DX464" s="21"/>
      <c r="DY464" s="21"/>
      <c r="DZ464" s="21"/>
      <c r="EA464" s="21"/>
      <c r="EB464" s="21"/>
      <c r="EC464" s="21"/>
      <c r="ED464" s="21"/>
      <c r="EE464" s="21"/>
      <c r="EF464" s="21"/>
      <c r="EG464" s="21"/>
      <c r="EH464" s="21"/>
      <c r="EI464" s="21"/>
      <c r="EJ464" s="21"/>
      <c r="EK464" s="21"/>
      <c r="EL464" s="21"/>
      <c r="EM464" s="21"/>
      <c r="EN464" s="21"/>
      <c r="EO464" s="21"/>
      <c r="EP464" s="21"/>
      <c r="EQ464" s="21"/>
      <c r="ER464" s="21"/>
      <c r="ES464" s="21"/>
      <c r="ET464" s="21"/>
      <c r="EU464" s="21"/>
      <c r="EV464" s="21"/>
      <c r="EW464" s="21"/>
      <c r="EX464" s="21"/>
      <c r="EY464" s="21"/>
      <c r="EZ464" s="21"/>
      <c r="FA464" s="21"/>
      <c r="FB464" s="21"/>
      <c r="FC464" s="21"/>
      <c r="FD464" s="21"/>
      <c r="FE464" s="21"/>
      <c r="FF464" s="21"/>
      <c r="FG464" s="21"/>
      <c r="FH464" s="21"/>
      <c r="FI464" s="21"/>
      <c r="FJ464" s="21"/>
      <c r="FK464" s="21"/>
      <c r="FL464" s="21"/>
      <c r="FM464" s="21"/>
      <c r="FN464" s="21"/>
      <c r="FO464" s="21"/>
      <c r="FP464" s="21"/>
      <c r="FQ464" s="21"/>
      <c r="FR464" s="21"/>
      <c r="FS464" s="21"/>
      <c r="FT464" s="21"/>
      <c r="FU464" s="21"/>
      <c r="FV464" s="21"/>
      <c r="FW464" s="21"/>
      <c r="FX464" s="21"/>
      <c r="FY464" s="21"/>
      <c r="FZ464" s="21"/>
      <c r="GA464" s="21"/>
      <c r="GB464" s="21"/>
      <c r="GC464" s="21"/>
      <c r="GD464" s="21"/>
      <c r="GE464" s="21"/>
      <c r="GF464" s="21"/>
      <c r="GG464" s="21"/>
      <c r="GH464" s="21"/>
      <c r="GI464" s="21"/>
      <c r="GJ464" s="21"/>
      <c r="GK464" s="21"/>
      <c r="GL464" s="21"/>
      <c r="GM464" s="21"/>
      <c r="GN464" s="21"/>
      <c r="GO464" s="21"/>
      <c r="GP464" s="21"/>
      <c r="GQ464" s="21"/>
      <c r="GR464" s="21"/>
      <c r="GS464" s="21"/>
      <c r="GT464" s="21"/>
      <c r="GU464" s="21"/>
      <c r="GV464" s="21"/>
      <c r="GW464" s="21"/>
      <c r="GX464" s="21"/>
      <c r="GY464" s="21"/>
      <c r="GZ464" s="21"/>
      <c r="HA464" s="21"/>
      <c r="HB464" s="21"/>
      <c r="HC464" s="21"/>
      <c r="HD464" s="21"/>
      <c r="HE464" s="21"/>
      <c r="HF464" s="21"/>
      <c r="HG464" s="21"/>
      <c r="HH464" s="21"/>
      <c r="HI464" s="21"/>
      <c r="HJ464" s="21"/>
      <c r="HK464" s="21"/>
      <c r="HL464" s="21"/>
      <c r="HM464" s="21"/>
      <c r="HN464" s="21"/>
      <c r="HO464" s="21"/>
      <c r="HP464" s="21"/>
      <c r="HQ464" s="21"/>
      <c r="HR464" s="21"/>
      <c r="HS464" s="21"/>
      <c r="HT464" s="21"/>
      <c r="HU464" s="21"/>
      <c r="HV464" s="21"/>
      <c r="HW464" s="21"/>
      <c r="HX464" s="21"/>
      <c r="HY464" s="21"/>
      <c r="HZ464" s="21"/>
      <c r="IA464" s="21"/>
      <c r="IB464" s="21"/>
      <c r="IC464" s="21"/>
      <c r="ID464" s="21"/>
    </row>
    <row r="465" spans="1:238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  <c r="DB465" s="21"/>
      <c r="DC465" s="21"/>
      <c r="DD465" s="21"/>
      <c r="DE465" s="21"/>
      <c r="DF465" s="21"/>
      <c r="DG465" s="21"/>
      <c r="DH465" s="21"/>
      <c r="DI465" s="21"/>
      <c r="DJ465" s="21"/>
      <c r="DK465" s="21"/>
      <c r="DL465" s="21"/>
      <c r="DM465" s="21"/>
      <c r="DN465" s="21"/>
      <c r="DO465" s="21"/>
      <c r="DP465" s="21"/>
      <c r="DQ465" s="21"/>
      <c r="DR465" s="21"/>
      <c r="DS465" s="21"/>
      <c r="DT465" s="21"/>
      <c r="DU465" s="21"/>
      <c r="DV465" s="21"/>
      <c r="DW465" s="21"/>
      <c r="DX465" s="21"/>
      <c r="DY465" s="21"/>
      <c r="DZ465" s="21"/>
      <c r="EA465" s="21"/>
      <c r="EB465" s="21"/>
      <c r="EC465" s="21"/>
      <c r="ED465" s="21"/>
      <c r="EE465" s="21"/>
      <c r="EF465" s="21"/>
      <c r="EG465" s="21"/>
      <c r="EH465" s="21"/>
      <c r="EI465" s="21"/>
      <c r="EJ465" s="21"/>
      <c r="EK465" s="21"/>
      <c r="EL465" s="21"/>
      <c r="EM465" s="21"/>
      <c r="EN465" s="21"/>
      <c r="EO465" s="21"/>
      <c r="EP465" s="21"/>
      <c r="EQ465" s="21"/>
      <c r="ER465" s="21"/>
      <c r="ES465" s="21"/>
      <c r="ET465" s="21"/>
      <c r="EU465" s="21"/>
      <c r="EV465" s="21"/>
      <c r="EW465" s="21"/>
      <c r="EX465" s="21"/>
      <c r="EY465" s="21"/>
      <c r="EZ465" s="21"/>
      <c r="FA465" s="21"/>
      <c r="FB465" s="21"/>
      <c r="FC465" s="21"/>
      <c r="FD465" s="21"/>
      <c r="FE465" s="21"/>
      <c r="FF465" s="21"/>
      <c r="FG465" s="21"/>
      <c r="FH465" s="21"/>
      <c r="FI465" s="21"/>
      <c r="FJ465" s="21"/>
      <c r="FK465" s="21"/>
      <c r="FL465" s="21"/>
      <c r="FM465" s="21"/>
      <c r="FN465" s="21"/>
      <c r="FO465" s="21"/>
      <c r="FP465" s="21"/>
      <c r="FQ465" s="21"/>
      <c r="FR465" s="21"/>
      <c r="FS465" s="21"/>
      <c r="FT465" s="21"/>
      <c r="FU465" s="21"/>
      <c r="FV465" s="21"/>
      <c r="FW465" s="21"/>
      <c r="FX465" s="21"/>
      <c r="FY465" s="21"/>
      <c r="FZ465" s="21"/>
      <c r="GA465" s="21"/>
      <c r="GB465" s="21"/>
      <c r="GC465" s="21"/>
      <c r="GD465" s="21"/>
      <c r="GE465" s="21"/>
      <c r="GF465" s="21"/>
      <c r="GG465" s="21"/>
      <c r="GH465" s="21"/>
      <c r="GI465" s="21"/>
      <c r="GJ465" s="21"/>
      <c r="GK465" s="21"/>
      <c r="GL465" s="21"/>
      <c r="GM465" s="21"/>
      <c r="GN465" s="21"/>
      <c r="GO465" s="21"/>
      <c r="GP465" s="21"/>
      <c r="GQ465" s="21"/>
      <c r="GR465" s="21"/>
      <c r="GS465" s="21"/>
      <c r="GT465" s="21"/>
      <c r="GU465" s="21"/>
      <c r="GV465" s="21"/>
      <c r="GW465" s="21"/>
      <c r="GX465" s="21"/>
      <c r="GY465" s="21"/>
      <c r="GZ465" s="21"/>
      <c r="HA465" s="21"/>
      <c r="HB465" s="21"/>
      <c r="HC465" s="21"/>
      <c r="HD465" s="21"/>
      <c r="HE465" s="21"/>
      <c r="HF465" s="21"/>
      <c r="HG465" s="21"/>
      <c r="HH465" s="21"/>
      <c r="HI465" s="21"/>
      <c r="HJ465" s="21"/>
      <c r="HK465" s="21"/>
      <c r="HL465" s="21"/>
      <c r="HM465" s="21"/>
      <c r="HN465" s="21"/>
      <c r="HO465" s="21"/>
      <c r="HP465" s="21"/>
      <c r="HQ465" s="21"/>
      <c r="HR465" s="21"/>
      <c r="HS465" s="21"/>
      <c r="HT465" s="21"/>
      <c r="HU465" s="21"/>
      <c r="HV465" s="21"/>
      <c r="HW465" s="21"/>
      <c r="HX465" s="21"/>
      <c r="HY465" s="21"/>
      <c r="HZ465" s="21"/>
      <c r="IA465" s="21"/>
      <c r="IB465" s="21"/>
      <c r="IC465" s="21"/>
      <c r="ID465" s="21"/>
    </row>
    <row r="466" spans="1:238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  <c r="DB466" s="21"/>
      <c r="DC466" s="21"/>
      <c r="DD466" s="21"/>
      <c r="DE466" s="21"/>
      <c r="DF466" s="21"/>
      <c r="DG466" s="21"/>
      <c r="DH466" s="21"/>
      <c r="DI466" s="21"/>
      <c r="DJ466" s="21"/>
      <c r="DK466" s="21"/>
      <c r="DL466" s="21"/>
      <c r="DM466" s="21"/>
      <c r="DN466" s="21"/>
      <c r="DO466" s="21"/>
      <c r="DP466" s="21"/>
      <c r="DQ466" s="21"/>
      <c r="DR466" s="21"/>
      <c r="DS466" s="21"/>
      <c r="DT466" s="21"/>
      <c r="DU466" s="21"/>
      <c r="DV466" s="21"/>
      <c r="DW466" s="21"/>
      <c r="DX466" s="21"/>
      <c r="DY466" s="21"/>
      <c r="DZ466" s="21"/>
      <c r="EA466" s="21"/>
      <c r="EB466" s="21"/>
      <c r="EC466" s="21"/>
      <c r="ED466" s="21"/>
      <c r="EE466" s="21"/>
      <c r="EF466" s="21"/>
      <c r="EG466" s="21"/>
      <c r="EH466" s="21"/>
      <c r="EI466" s="21"/>
      <c r="EJ466" s="21"/>
      <c r="EK466" s="21"/>
      <c r="EL466" s="21"/>
      <c r="EM466" s="21"/>
      <c r="EN466" s="21"/>
      <c r="EO466" s="21"/>
      <c r="EP466" s="21"/>
      <c r="EQ466" s="21"/>
      <c r="ER466" s="21"/>
      <c r="ES466" s="21"/>
      <c r="ET466" s="21"/>
      <c r="EU466" s="21"/>
      <c r="EV466" s="21"/>
      <c r="EW466" s="21"/>
      <c r="EX466" s="21"/>
      <c r="EY466" s="21"/>
      <c r="EZ466" s="21"/>
      <c r="FA466" s="21"/>
      <c r="FB466" s="21"/>
      <c r="FC466" s="21"/>
      <c r="FD466" s="21"/>
      <c r="FE466" s="21"/>
      <c r="FF466" s="21"/>
      <c r="FG466" s="21"/>
      <c r="FH466" s="21"/>
      <c r="FI466" s="21"/>
      <c r="FJ466" s="21"/>
      <c r="FK466" s="21"/>
      <c r="FL466" s="21"/>
      <c r="FM466" s="21"/>
      <c r="FN466" s="21"/>
      <c r="FO466" s="21"/>
      <c r="FP466" s="21"/>
      <c r="FQ466" s="21"/>
      <c r="FR466" s="21"/>
      <c r="FS466" s="21"/>
      <c r="FT466" s="21"/>
      <c r="FU466" s="21"/>
      <c r="FV466" s="21"/>
      <c r="FW466" s="21"/>
      <c r="FX466" s="21"/>
      <c r="FY466" s="21"/>
      <c r="FZ466" s="21"/>
      <c r="GA466" s="21"/>
      <c r="GB466" s="21"/>
      <c r="GC466" s="21"/>
      <c r="GD466" s="21"/>
      <c r="GE466" s="21"/>
      <c r="GF466" s="21"/>
      <c r="GG466" s="21"/>
      <c r="GH466" s="21"/>
      <c r="GI466" s="21"/>
      <c r="GJ466" s="21"/>
      <c r="GK466" s="21"/>
      <c r="GL466" s="21"/>
      <c r="GM466" s="21"/>
      <c r="GN466" s="21"/>
      <c r="GO466" s="21"/>
      <c r="GP466" s="21"/>
      <c r="GQ466" s="21"/>
      <c r="GR466" s="21"/>
      <c r="GS466" s="21"/>
      <c r="GT466" s="21"/>
      <c r="GU466" s="21"/>
      <c r="GV466" s="21"/>
      <c r="GW466" s="21"/>
      <c r="GX466" s="21"/>
      <c r="GY466" s="21"/>
      <c r="GZ466" s="21"/>
      <c r="HA466" s="21"/>
      <c r="HB466" s="21"/>
      <c r="HC466" s="21"/>
      <c r="HD466" s="21"/>
      <c r="HE466" s="21"/>
      <c r="HF466" s="21"/>
      <c r="HG466" s="21"/>
      <c r="HH466" s="21"/>
      <c r="HI466" s="21"/>
      <c r="HJ466" s="21"/>
      <c r="HK466" s="21"/>
      <c r="HL466" s="21"/>
      <c r="HM466" s="21"/>
      <c r="HN466" s="21"/>
      <c r="HO466" s="21"/>
      <c r="HP466" s="21"/>
      <c r="HQ466" s="21"/>
      <c r="HR466" s="21"/>
      <c r="HS466" s="21"/>
      <c r="HT466" s="21"/>
      <c r="HU466" s="21"/>
      <c r="HV466" s="21"/>
      <c r="HW466" s="21"/>
      <c r="HX466" s="21"/>
      <c r="HY466" s="21"/>
      <c r="HZ466" s="21"/>
      <c r="IA466" s="21"/>
      <c r="IB466" s="21"/>
      <c r="IC466" s="21"/>
      <c r="ID466" s="21"/>
    </row>
    <row r="467" spans="1:238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  <c r="DB467" s="21"/>
      <c r="DC467" s="21"/>
      <c r="DD467" s="21"/>
      <c r="DE467" s="21"/>
      <c r="DF467" s="21"/>
      <c r="DG467" s="21"/>
      <c r="DH467" s="21"/>
      <c r="DI467" s="21"/>
      <c r="DJ467" s="21"/>
      <c r="DK467" s="21"/>
      <c r="DL467" s="21"/>
      <c r="DM467" s="21"/>
      <c r="DN467" s="21"/>
      <c r="DO467" s="21"/>
      <c r="DP467" s="21"/>
      <c r="DQ467" s="21"/>
      <c r="DR467" s="21"/>
      <c r="DS467" s="21"/>
      <c r="DT467" s="21"/>
      <c r="DU467" s="21"/>
      <c r="DV467" s="21"/>
      <c r="DW467" s="21"/>
      <c r="DX467" s="21"/>
      <c r="DY467" s="21"/>
      <c r="DZ467" s="21"/>
      <c r="EA467" s="21"/>
      <c r="EB467" s="21"/>
      <c r="EC467" s="21"/>
      <c r="ED467" s="21"/>
      <c r="EE467" s="21"/>
      <c r="EF467" s="21"/>
      <c r="EG467" s="21"/>
      <c r="EH467" s="21"/>
      <c r="EI467" s="21"/>
      <c r="EJ467" s="21"/>
      <c r="EK467" s="21"/>
      <c r="EL467" s="21"/>
      <c r="EM467" s="21"/>
      <c r="EN467" s="21"/>
      <c r="EO467" s="21"/>
      <c r="EP467" s="21"/>
      <c r="EQ467" s="21"/>
      <c r="ER467" s="21"/>
      <c r="ES467" s="21"/>
      <c r="ET467" s="21"/>
      <c r="EU467" s="21"/>
      <c r="EV467" s="21"/>
      <c r="EW467" s="21"/>
      <c r="EX467" s="21"/>
      <c r="EY467" s="21"/>
      <c r="EZ467" s="21"/>
      <c r="FA467" s="21"/>
      <c r="FB467" s="21"/>
      <c r="FC467" s="21"/>
      <c r="FD467" s="21"/>
      <c r="FE467" s="21"/>
      <c r="FF467" s="21"/>
      <c r="FG467" s="21"/>
      <c r="FH467" s="21"/>
      <c r="FI467" s="21"/>
      <c r="FJ467" s="21"/>
      <c r="FK467" s="21"/>
      <c r="FL467" s="21"/>
      <c r="FM467" s="21"/>
      <c r="FN467" s="21"/>
      <c r="FO467" s="21"/>
      <c r="FP467" s="21"/>
      <c r="FQ467" s="21"/>
      <c r="FR467" s="21"/>
      <c r="FS467" s="21"/>
      <c r="FT467" s="21"/>
      <c r="FU467" s="21"/>
      <c r="FV467" s="21"/>
      <c r="FW467" s="21"/>
      <c r="FX467" s="21"/>
      <c r="FY467" s="21"/>
      <c r="FZ467" s="21"/>
      <c r="GA467" s="21"/>
      <c r="GB467" s="21"/>
      <c r="GC467" s="21"/>
      <c r="GD467" s="21"/>
      <c r="GE467" s="21"/>
      <c r="GF467" s="21"/>
      <c r="GG467" s="21"/>
      <c r="GH467" s="21"/>
      <c r="GI467" s="21"/>
      <c r="GJ467" s="21"/>
      <c r="GK467" s="21"/>
      <c r="GL467" s="21"/>
      <c r="GM467" s="21"/>
      <c r="GN467" s="21"/>
      <c r="GO467" s="21"/>
      <c r="GP467" s="21"/>
      <c r="GQ467" s="21"/>
      <c r="GR467" s="21"/>
      <c r="GS467" s="21"/>
      <c r="GT467" s="21"/>
      <c r="GU467" s="21"/>
      <c r="GV467" s="21"/>
      <c r="GW467" s="21"/>
      <c r="GX467" s="21"/>
      <c r="GY467" s="21"/>
      <c r="GZ467" s="21"/>
      <c r="HA467" s="21"/>
      <c r="HB467" s="21"/>
      <c r="HC467" s="21"/>
      <c r="HD467" s="21"/>
      <c r="HE467" s="21"/>
      <c r="HF467" s="21"/>
      <c r="HG467" s="21"/>
      <c r="HH467" s="21"/>
      <c r="HI467" s="21"/>
      <c r="HJ467" s="21"/>
      <c r="HK467" s="21"/>
      <c r="HL467" s="21"/>
      <c r="HM467" s="21"/>
      <c r="HN467" s="21"/>
      <c r="HO467" s="21"/>
      <c r="HP467" s="21"/>
      <c r="HQ467" s="21"/>
      <c r="HR467" s="21"/>
      <c r="HS467" s="21"/>
      <c r="HT467" s="21"/>
      <c r="HU467" s="21"/>
      <c r="HV467" s="21"/>
      <c r="HW467" s="21"/>
      <c r="HX467" s="21"/>
      <c r="HY467" s="21"/>
      <c r="HZ467" s="21"/>
      <c r="IA467" s="21"/>
      <c r="IB467" s="21"/>
      <c r="IC467" s="21"/>
      <c r="ID467" s="21"/>
    </row>
    <row r="468" spans="1:23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  <c r="DB468" s="21"/>
      <c r="DC468" s="21"/>
      <c r="DD468" s="21"/>
      <c r="DE468" s="21"/>
      <c r="DF468" s="21"/>
      <c r="DG468" s="21"/>
      <c r="DH468" s="21"/>
      <c r="DI468" s="21"/>
      <c r="DJ468" s="21"/>
      <c r="DK468" s="21"/>
      <c r="DL468" s="21"/>
      <c r="DM468" s="21"/>
      <c r="DN468" s="21"/>
      <c r="DO468" s="21"/>
      <c r="DP468" s="21"/>
      <c r="DQ468" s="21"/>
      <c r="DR468" s="21"/>
      <c r="DS468" s="21"/>
      <c r="DT468" s="21"/>
      <c r="DU468" s="21"/>
      <c r="DV468" s="21"/>
      <c r="DW468" s="21"/>
      <c r="DX468" s="21"/>
      <c r="DY468" s="21"/>
      <c r="DZ468" s="21"/>
      <c r="EA468" s="21"/>
      <c r="EB468" s="21"/>
      <c r="EC468" s="21"/>
      <c r="ED468" s="21"/>
      <c r="EE468" s="21"/>
      <c r="EF468" s="21"/>
      <c r="EG468" s="21"/>
      <c r="EH468" s="21"/>
      <c r="EI468" s="21"/>
      <c r="EJ468" s="21"/>
      <c r="EK468" s="21"/>
      <c r="EL468" s="21"/>
      <c r="EM468" s="21"/>
      <c r="EN468" s="21"/>
      <c r="EO468" s="21"/>
      <c r="EP468" s="21"/>
      <c r="EQ468" s="21"/>
      <c r="ER468" s="21"/>
      <c r="ES468" s="21"/>
      <c r="ET468" s="21"/>
      <c r="EU468" s="21"/>
      <c r="EV468" s="21"/>
      <c r="EW468" s="21"/>
      <c r="EX468" s="21"/>
      <c r="EY468" s="21"/>
      <c r="EZ468" s="21"/>
      <c r="FA468" s="21"/>
      <c r="FB468" s="21"/>
      <c r="FC468" s="21"/>
      <c r="FD468" s="21"/>
      <c r="FE468" s="21"/>
      <c r="FF468" s="21"/>
      <c r="FG468" s="21"/>
      <c r="FH468" s="21"/>
      <c r="FI468" s="21"/>
      <c r="FJ468" s="21"/>
      <c r="FK468" s="21"/>
      <c r="FL468" s="21"/>
      <c r="FM468" s="21"/>
      <c r="FN468" s="21"/>
      <c r="FO468" s="21"/>
      <c r="FP468" s="21"/>
      <c r="FQ468" s="21"/>
      <c r="FR468" s="21"/>
      <c r="FS468" s="21"/>
      <c r="FT468" s="21"/>
      <c r="FU468" s="21"/>
      <c r="FV468" s="21"/>
      <c r="FW468" s="21"/>
      <c r="FX468" s="21"/>
      <c r="FY468" s="21"/>
      <c r="FZ468" s="21"/>
      <c r="GA468" s="21"/>
      <c r="GB468" s="21"/>
      <c r="GC468" s="21"/>
      <c r="GD468" s="21"/>
      <c r="GE468" s="21"/>
      <c r="GF468" s="21"/>
      <c r="GG468" s="21"/>
      <c r="GH468" s="21"/>
      <c r="GI468" s="21"/>
      <c r="GJ468" s="21"/>
      <c r="GK468" s="21"/>
      <c r="GL468" s="21"/>
      <c r="GM468" s="21"/>
      <c r="GN468" s="21"/>
      <c r="GO468" s="21"/>
      <c r="GP468" s="21"/>
      <c r="GQ468" s="21"/>
      <c r="GR468" s="21"/>
      <c r="GS468" s="21"/>
      <c r="GT468" s="21"/>
      <c r="GU468" s="21"/>
      <c r="GV468" s="21"/>
      <c r="GW468" s="21"/>
      <c r="GX468" s="21"/>
      <c r="GY468" s="21"/>
      <c r="GZ468" s="21"/>
      <c r="HA468" s="21"/>
      <c r="HB468" s="21"/>
      <c r="HC468" s="21"/>
      <c r="HD468" s="21"/>
      <c r="HE468" s="21"/>
      <c r="HF468" s="21"/>
      <c r="HG468" s="21"/>
      <c r="HH468" s="21"/>
      <c r="HI468" s="21"/>
      <c r="HJ468" s="21"/>
      <c r="HK468" s="21"/>
      <c r="HL468" s="21"/>
      <c r="HM468" s="21"/>
      <c r="HN468" s="21"/>
      <c r="HO468" s="21"/>
      <c r="HP468" s="21"/>
      <c r="HQ468" s="21"/>
      <c r="HR468" s="21"/>
      <c r="HS468" s="21"/>
      <c r="HT468" s="21"/>
      <c r="HU468" s="21"/>
      <c r="HV468" s="21"/>
      <c r="HW468" s="21"/>
      <c r="HX468" s="21"/>
      <c r="HY468" s="21"/>
      <c r="HZ468" s="21"/>
      <c r="IA468" s="21"/>
      <c r="IB468" s="21"/>
      <c r="IC468" s="21"/>
      <c r="ID468" s="21"/>
    </row>
    <row r="469" spans="1:238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  <c r="DB469" s="21"/>
      <c r="DC469" s="21"/>
      <c r="DD469" s="21"/>
      <c r="DE469" s="21"/>
      <c r="DF469" s="21"/>
      <c r="DG469" s="21"/>
      <c r="DH469" s="21"/>
      <c r="DI469" s="21"/>
      <c r="DJ469" s="21"/>
      <c r="DK469" s="21"/>
      <c r="DL469" s="21"/>
      <c r="DM469" s="21"/>
      <c r="DN469" s="21"/>
      <c r="DO469" s="21"/>
      <c r="DP469" s="21"/>
      <c r="DQ469" s="21"/>
      <c r="DR469" s="21"/>
      <c r="DS469" s="21"/>
      <c r="DT469" s="21"/>
      <c r="DU469" s="21"/>
      <c r="DV469" s="21"/>
      <c r="DW469" s="21"/>
      <c r="DX469" s="21"/>
      <c r="DY469" s="21"/>
      <c r="DZ469" s="21"/>
      <c r="EA469" s="21"/>
      <c r="EB469" s="21"/>
      <c r="EC469" s="21"/>
      <c r="ED469" s="21"/>
      <c r="EE469" s="21"/>
      <c r="EF469" s="21"/>
      <c r="EG469" s="21"/>
      <c r="EH469" s="21"/>
      <c r="EI469" s="21"/>
      <c r="EJ469" s="21"/>
      <c r="EK469" s="21"/>
      <c r="EL469" s="21"/>
      <c r="EM469" s="21"/>
      <c r="EN469" s="21"/>
      <c r="EO469" s="21"/>
      <c r="EP469" s="21"/>
      <c r="EQ469" s="21"/>
      <c r="ER469" s="21"/>
      <c r="ES469" s="21"/>
      <c r="ET469" s="21"/>
      <c r="EU469" s="21"/>
      <c r="EV469" s="21"/>
      <c r="EW469" s="21"/>
      <c r="EX469" s="21"/>
      <c r="EY469" s="21"/>
      <c r="EZ469" s="21"/>
      <c r="FA469" s="21"/>
      <c r="FB469" s="21"/>
      <c r="FC469" s="21"/>
      <c r="FD469" s="21"/>
      <c r="FE469" s="21"/>
      <c r="FF469" s="21"/>
      <c r="FG469" s="21"/>
      <c r="FH469" s="21"/>
      <c r="FI469" s="21"/>
      <c r="FJ469" s="21"/>
      <c r="FK469" s="21"/>
      <c r="FL469" s="21"/>
      <c r="FM469" s="21"/>
      <c r="FN469" s="21"/>
      <c r="FO469" s="21"/>
      <c r="FP469" s="21"/>
      <c r="FQ469" s="21"/>
      <c r="FR469" s="21"/>
      <c r="FS469" s="21"/>
      <c r="FT469" s="21"/>
      <c r="FU469" s="21"/>
      <c r="FV469" s="21"/>
      <c r="FW469" s="21"/>
      <c r="FX469" s="21"/>
      <c r="FY469" s="21"/>
      <c r="FZ469" s="21"/>
      <c r="GA469" s="21"/>
      <c r="GB469" s="21"/>
      <c r="GC469" s="21"/>
      <c r="GD469" s="21"/>
      <c r="GE469" s="21"/>
      <c r="GF469" s="21"/>
      <c r="GG469" s="21"/>
      <c r="GH469" s="21"/>
      <c r="GI469" s="21"/>
      <c r="GJ469" s="21"/>
      <c r="GK469" s="21"/>
      <c r="GL469" s="21"/>
      <c r="GM469" s="21"/>
      <c r="GN469" s="21"/>
      <c r="GO469" s="21"/>
      <c r="GP469" s="21"/>
      <c r="GQ469" s="21"/>
      <c r="GR469" s="21"/>
      <c r="GS469" s="21"/>
      <c r="GT469" s="21"/>
      <c r="GU469" s="21"/>
      <c r="GV469" s="21"/>
      <c r="GW469" s="21"/>
      <c r="GX469" s="21"/>
      <c r="GY469" s="21"/>
      <c r="GZ469" s="21"/>
      <c r="HA469" s="21"/>
      <c r="HB469" s="21"/>
      <c r="HC469" s="21"/>
      <c r="HD469" s="21"/>
      <c r="HE469" s="21"/>
      <c r="HF469" s="21"/>
      <c r="HG469" s="21"/>
      <c r="HH469" s="21"/>
      <c r="HI469" s="21"/>
      <c r="HJ469" s="21"/>
      <c r="HK469" s="21"/>
      <c r="HL469" s="21"/>
      <c r="HM469" s="21"/>
      <c r="HN469" s="21"/>
      <c r="HO469" s="21"/>
      <c r="HP469" s="21"/>
      <c r="HQ469" s="21"/>
      <c r="HR469" s="21"/>
      <c r="HS469" s="21"/>
      <c r="HT469" s="21"/>
      <c r="HU469" s="21"/>
      <c r="HV469" s="21"/>
      <c r="HW469" s="21"/>
      <c r="HX469" s="21"/>
      <c r="HY469" s="21"/>
      <c r="HZ469" s="21"/>
      <c r="IA469" s="21"/>
      <c r="IB469" s="21"/>
      <c r="IC469" s="21"/>
      <c r="ID469" s="21"/>
    </row>
    <row r="470" spans="1:238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  <c r="DB470" s="21"/>
      <c r="DC470" s="21"/>
      <c r="DD470" s="21"/>
      <c r="DE470" s="21"/>
      <c r="DF470" s="21"/>
      <c r="DG470" s="21"/>
      <c r="DH470" s="21"/>
      <c r="DI470" s="21"/>
      <c r="DJ470" s="21"/>
      <c r="DK470" s="21"/>
      <c r="DL470" s="21"/>
      <c r="DM470" s="21"/>
      <c r="DN470" s="21"/>
      <c r="DO470" s="21"/>
      <c r="DP470" s="21"/>
      <c r="DQ470" s="21"/>
      <c r="DR470" s="21"/>
      <c r="DS470" s="21"/>
      <c r="DT470" s="21"/>
      <c r="DU470" s="21"/>
      <c r="DV470" s="21"/>
      <c r="DW470" s="21"/>
      <c r="DX470" s="21"/>
      <c r="DY470" s="21"/>
      <c r="DZ470" s="21"/>
      <c r="EA470" s="21"/>
      <c r="EB470" s="21"/>
      <c r="EC470" s="21"/>
      <c r="ED470" s="21"/>
      <c r="EE470" s="21"/>
      <c r="EF470" s="21"/>
      <c r="EG470" s="21"/>
      <c r="EH470" s="21"/>
      <c r="EI470" s="21"/>
      <c r="EJ470" s="21"/>
      <c r="EK470" s="21"/>
      <c r="EL470" s="21"/>
      <c r="EM470" s="21"/>
      <c r="EN470" s="21"/>
      <c r="EO470" s="21"/>
      <c r="EP470" s="21"/>
      <c r="EQ470" s="21"/>
      <c r="ER470" s="21"/>
      <c r="ES470" s="21"/>
      <c r="ET470" s="21"/>
      <c r="EU470" s="21"/>
      <c r="EV470" s="21"/>
      <c r="EW470" s="21"/>
      <c r="EX470" s="21"/>
      <c r="EY470" s="21"/>
      <c r="EZ470" s="21"/>
      <c r="FA470" s="21"/>
      <c r="FB470" s="21"/>
      <c r="FC470" s="21"/>
      <c r="FD470" s="21"/>
      <c r="FE470" s="21"/>
      <c r="FF470" s="21"/>
      <c r="FG470" s="21"/>
      <c r="FH470" s="21"/>
      <c r="FI470" s="21"/>
      <c r="FJ470" s="21"/>
      <c r="FK470" s="21"/>
      <c r="FL470" s="21"/>
      <c r="FM470" s="21"/>
      <c r="FN470" s="21"/>
      <c r="FO470" s="21"/>
      <c r="FP470" s="21"/>
      <c r="FQ470" s="21"/>
      <c r="FR470" s="21"/>
      <c r="FS470" s="21"/>
      <c r="FT470" s="21"/>
      <c r="FU470" s="21"/>
      <c r="FV470" s="21"/>
      <c r="FW470" s="21"/>
      <c r="FX470" s="21"/>
      <c r="FY470" s="21"/>
      <c r="FZ470" s="21"/>
      <c r="GA470" s="21"/>
      <c r="GB470" s="21"/>
      <c r="GC470" s="21"/>
      <c r="GD470" s="21"/>
      <c r="GE470" s="21"/>
      <c r="GF470" s="21"/>
      <c r="GG470" s="21"/>
      <c r="GH470" s="21"/>
      <c r="GI470" s="21"/>
      <c r="GJ470" s="21"/>
      <c r="GK470" s="21"/>
      <c r="GL470" s="21"/>
      <c r="GM470" s="21"/>
      <c r="GN470" s="21"/>
      <c r="GO470" s="21"/>
      <c r="GP470" s="21"/>
      <c r="GQ470" s="21"/>
      <c r="GR470" s="21"/>
      <c r="GS470" s="21"/>
      <c r="GT470" s="21"/>
      <c r="GU470" s="21"/>
      <c r="GV470" s="21"/>
      <c r="GW470" s="21"/>
      <c r="GX470" s="21"/>
      <c r="GY470" s="21"/>
      <c r="GZ470" s="21"/>
      <c r="HA470" s="21"/>
      <c r="HB470" s="21"/>
      <c r="HC470" s="21"/>
      <c r="HD470" s="21"/>
      <c r="HE470" s="21"/>
      <c r="HF470" s="21"/>
      <c r="HG470" s="21"/>
      <c r="HH470" s="21"/>
      <c r="HI470" s="21"/>
      <c r="HJ470" s="21"/>
      <c r="HK470" s="21"/>
      <c r="HL470" s="21"/>
      <c r="HM470" s="21"/>
      <c r="HN470" s="21"/>
      <c r="HO470" s="21"/>
      <c r="HP470" s="21"/>
      <c r="HQ470" s="21"/>
      <c r="HR470" s="21"/>
      <c r="HS470" s="21"/>
      <c r="HT470" s="21"/>
      <c r="HU470" s="21"/>
      <c r="HV470" s="21"/>
      <c r="HW470" s="21"/>
      <c r="HX470" s="21"/>
      <c r="HY470" s="21"/>
      <c r="HZ470" s="21"/>
      <c r="IA470" s="21"/>
      <c r="IB470" s="21"/>
      <c r="IC470" s="21"/>
      <c r="ID470" s="21"/>
    </row>
    <row r="471" spans="1:238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  <c r="DB471" s="21"/>
      <c r="DC471" s="21"/>
      <c r="DD471" s="21"/>
      <c r="DE471" s="21"/>
      <c r="DF471" s="21"/>
      <c r="DG471" s="21"/>
      <c r="DH471" s="21"/>
      <c r="DI471" s="21"/>
      <c r="DJ471" s="21"/>
      <c r="DK471" s="21"/>
      <c r="DL471" s="21"/>
      <c r="DM471" s="21"/>
      <c r="DN471" s="21"/>
      <c r="DO471" s="21"/>
      <c r="DP471" s="21"/>
      <c r="DQ471" s="21"/>
      <c r="DR471" s="21"/>
      <c r="DS471" s="21"/>
      <c r="DT471" s="21"/>
      <c r="DU471" s="21"/>
      <c r="DV471" s="21"/>
      <c r="DW471" s="21"/>
      <c r="DX471" s="21"/>
      <c r="DY471" s="21"/>
      <c r="DZ471" s="21"/>
      <c r="EA471" s="21"/>
      <c r="EB471" s="21"/>
      <c r="EC471" s="21"/>
      <c r="ED471" s="21"/>
      <c r="EE471" s="21"/>
      <c r="EF471" s="21"/>
      <c r="EG471" s="21"/>
      <c r="EH471" s="21"/>
      <c r="EI471" s="21"/>
      <c r="EJ471" s="21"/>
      <c r="EK471" s="21"/>
      <c r="EL471" s="21"/>
      <c r="EM471" s="21"/>
      <c r="EN471" s="21"/>
      <c r="EO471" s="21"/>
      <c r="EP471" s="21"/>
      <c r="EQ471" s="21"/>
      <c r="ER471" s="21"/>
      <c r="ES471" s="21"/>
      <c r="ET471" s="21"/>
      <c r="EU471" s="21"/>
      <c r="EV471" s="21"/>
      <c r="EW471" s="21"/>
      <c r="EX471" s="21"/>
      <c r="EY471" s="21"/>
      <c r="EZ471" s="21"/>
      <c r="FA471" s="21"/>
      <c r="FB471" s="21"/>
      <c r="FC471" s="21"/>
      <c r="FD471" s="21"/>
      <c r="FE471" s="21"/>
      <c r="FF471" s="21"/>
      <c r="FG471" s="21"/>
      <c r="FH471" s="21"/>
      <c r="FI471" s="21"/>
      <c r="FJ471" s="21"/>
      <c r="FK471" s="21"/>
      <c r="FL471" s="21"/>
      <c r="FM471" s="21"/>
      <c r="FN471" s="21"/>
      <c r="FO471" s="21"/>
      <c r="FP471" s="21"/>
      <c r="FQ471" s="21"/>
      <c r="FR471" s="21"/>
      <c r="FS471" s="21"/>
      <c r="FT471" s="21"/>
      <c r="FU471" s="21"/>
      <c r="FV471" s="21"/>
      <c r="FW471" s="21"/>
      <c r="FX471" s="21"/>
      <c r="FY471" s="21"/>
      <c r="FZ471" s="21"/>
      <c r="GA471" s="21"/>
      <c r="GB471" s="21"/>
      <c r="GC471" s="21"/>
      <c r="GD471" s="21"/>
      <c r="GE471" s="21"/>
      <c r="GF471" s="21"/>
      <c r="GG471" s="21"/>
      <c r="GH471" s="21"/>
      <c r="GI471" s="21"/>
      <c r="GJ471" s="21"/>
      <c r="GK471" s="21"/>
      <c r="GL471" s="21"/>
      <c r="GM471" s="21"/>
      <c r="GN471" s="21"/>
      <c r="GO471" s="21"/>
      <c r="GP471" s="21"/>
      <c r="GQ471" s="21"/>
      <c r="GR471" s="21"/>
      <c r="GS471" s="21"/>
      <c r="GT471" s="21"/>
      <c r="GU471" s="21"/>
      <c r="GV471" s="21"/>
      <c r="GW471" s="21"/>
      <c r="GX471" s="21"/>
      <c r="GY471" s="21"/>
      <c r="GZ471" s="21"/>
      <c r="HA471" s="21"/>
      <c r="HB471" s="21"/>
      <c r="HC471" s="21"/>
      <c r="HD471" s="21"/>
      <c r="HE471" s="21"/>
      <c r="HF471" s="21"/>
      <c r="HG471" s="21"/>
      <c r="HH471" s="21"/>
      <c r="HI471" s="21"/>
      <c r="HJ471" s="21"/>
      <c r="HK471" s="21"/>
      <c r="HL471" s="21"/>
      <c r="HM471" s="21"/>
      <c r="HN471" s="21"/>
      <c r="HO471" s="21"/>
      <c r="HP471" s="21"/>
      <c r="HQ471" s="21"/>
      <c r="HR471" s="21"/>
      <c r="HS471" s="21"/>
      <c r="HT471" s="21"/>
      <c r="HU471" s="21"/>
      <c r="HV471" s="21"/>
      <c r="HW471" s="21"/>
      <c r="HX471" s="21"/>
      <c r="HY471" s="21"/>
      <c r="HZ471" s="21"/>
      <c r="IA471" s="21"/>
      <c r="IB471" s="21"/>
      <c r="IC471" s="21"/>
      <c r="ID471" s="21"/>
    </row>
    <row r="472" spans="1:238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  <c r="DB472" s="21"/>
      <c r="DC472" s="21"/>
      <c r="DD472" s="21"/>
      <c r="DE472" s="21"/>
      <c r="DF472" s="21"/>
      <c r="DG472" s="21"/>
      <c r="DH472" s="21"/>
      <c r="DI472" s="21"/>
      <c r="DJ472" s="21"/>
      <c r="DK472" s="21"/>
      <c r="DL472" s="21"/>
      <c r="DM472" s="21"/>
      <c r="DN472" s="21"/>
      <c r="DO472" s="21"/>
      <c r="DP472" s="21"/>
      <c r="DQ472" s="21"/>
      <c r="DR472" s="21"/>
      <c r="DS472" s="21"/>
      <c r="DT472" s="21"/>
      <c r="DU472" s="21"/>
      <c r="DV472" s="21"/>
      <c r="DW472" s="21"/>
      <c r="DX472" s="21"/>
      <c r="DY472" s="21"/>
      <c r="DZ472" s="21"/>
      <c r="EA472" s="21"/>
      <c r="EB472" s="21"/>
      <c r="EC472" s="21"/>
      <c r="ED472" s="21"/>
      <c r="EE472" s="21"/>
      <c r="EF472" s="21"/>
      <c r="EG472" s="21"/>
      <c r="EH472" s="21"/>
      <c r="EI472" s="21"/>
      <c r="EJ472" s="21"/>
      <c r="EK472" s="21"/>
      <c r="EL472" s="21"/>
      <c r="EM472" s="21"/>
      <c r="EN472" s="21"/>
      <c r="EO472" s="21"/>
      <c r="EP472" s="21"/>
      <c r="EQ472" s="21"/>
      <c r="ER472" s="21"/>
      <c r="ES472" s="21"/>
      <c r="ET472" s="21"/>
      <c r="EU472" s="21"/>
      <c r="EV472" s="21"/>
      <c r="EW472" s="21"/>
      <c r="EX472" s="21"/>
      <c r="EY472" s="21"/>
      <c r="EZ472" s="21"/>
      <c r="FA472" s="21"/>
      <c r="FB472" s="21"/>
      <c r="FC472" s="21"/>
      <c r="FD472" s="21"/>
      <c r="FE472" s="21"/>
      <c r="FF472" s="21"/>
      <c r="FG472" s="21"/>
      <c r="FH472" s="21"/>
      <c r="FI472" s="21"/>
      <c r="FJ472" s="21"/>
      <c r="FK472" s="21"/>
      <c r="FL472" s="21"/>
      <c r="FM472" s="21"/>
      <c r="FN472" s="21"/>
      <c r="FO472" s="21"/>
      <c r="FP472" s="21"/>
      <c r="FQ472" s="21"/>
      <c r="FR472" s="21"/>
      <c r="FS472" s="21"/>
      <c r="FT472" s="21"/>
      <c r="FU472" s="21"/>
      <c r="FV472" s="21"/>
      <c r="FW472" s="21"/>
      <c r="FX472" s="21"/>
      <c r="FY472" s="21"/>
      <c r="FZ472" s="21"/>
      <c r="GA472" s="21"/>
      <c r="GB472" s="21"/>
      <c r="GC472" s="21"/>
      <c r="GD472" s="21"/>
      <c r="GE472" s="21"/>
      <c r="GF472" s="21"/>
      <c r="GG472" s="21"/>
      <c r="GH472" s="21"/>
      <c r="GI472" s="21"/>
      <c r="GJ472" s="21"/>
      <c r="GK472" s="21"/>
      <c r="GL472" s="21"/>
      <c r="GM472" s="21"/>
      <c r="GN472" s="21"/>
      <c r="GO472" s="21"/>
      <c r="GP472" s="21"/>
      <c r="GQ472" s="21"/>
      <c r="GR472" s="21"/>
      <c r="GS472" s="21"/>
      <c r="GT472" s="21"/>
      <c r="GU472" s="21"/>
      <c r="GV472" s="21"/>
      <c r="GW472" s="21"/>
      <c r="GX472" s="21"/>
      <c r="GY472" s="21"/>
      <c r="GZ472" s="21"/>
      <c r="HA472" s="21"/>
      <c r="HB472" s="21"/>
      <c r="HC472" s="21"/>
      <c r="HD472" s="21"/>
      <c r="HE472" s="21"/>
      <c r="HF472" s="21"/>
      <c r="HG472" s="21"/>
      <c r="HH472" s="21"/>
      <c r="HI472" s="21"/>
      <c r="HJ472" s="21"/>
      <c r="HK472" s="21"/>
      <c r="HL472" s="21"/>
      <c r="HM472" s="21"/>
      <c r="HN472" s="21"/>
      <c r="HO472" s="21"/>
      <c r="HP472" s="21"/>
      <c r="HQ472" s="21"/>
      <c r="HR472" s="21"/>
      <c r="HS472" s="21"/>
      <c r="HT472" s="21"/>
      <c r="HU472" s="21"/>
      <c r="HV472" s="21"/>
      <c r="HW472" s="21"/>
      <c r="HX472" s="21"/>
      <c r="HY472" s="21"/>
      <c r="HZ472" s="21"/>
      <c r="IA472" s="21"/>
      <c r="IB472" s="21"/>
      <c r="IC472" s="21"/>
      <c r="ID472" s="21"/>
    </row>
    <row r="473" spans="1:238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  <c r="DB473" s="21"/>
      <c r="DC473" s="21"/>
      <c r="DD473" s="21"/>
      <c r="DE473" s="21"/>
      <c r="DF473" s="21"/>
      <c r="DG473" s="21"/>
      <c r="DH473" s="21"/>
      <c r="DI473" s="21"/>
      <c r="DJ473" s="21"/>
      <c r="DK473" s="21"/>
      <c r="DL473" s="21"/>
      <c r="DM473" s="21"/>
      <c r="DN473" s="21"/>
      <c r="DO473" s="21"/>
      <c r="DP473" s="21"/>
      <c r="DQ473" s="21"/>
      <c r="DR473" s="21"/>
      <c r="DS473" s="21"/>
      <c r="DT473" s="21"/>
      <c r="DU473" s="21"/>
      <c r="DV473" s="21"/>
      <c r="DW473" s="21"/>
      <c r="DX473" s="21"/>
      <c r="DY473" s="21"/>
      <c r="DZ473" s="21"/>
      <c r="EA473" s="21"/>
      <c r="EB473" s="21"/>
      <c r="EC473" s="21"/>
      <c r="ED473" s="21"/>
      <c r="EE473" s="21"/>
      <c r="EF473" s="21"/>
      <c r="EG473" s="21"/>
      <c r="EH473" s="21"/>
      <c r="EI473" s="21"/>
      <c r="EJ473" s="21"/>
      <c r="EK473" s="21"/>
      <c r="EL473" s="21"/>
      <c r="EM473" s="21"/>
      <c r="EN473" s="21"/>
      <c r="EO473" s="21"/>
      <c r="EP473" s="21"/>
      <c r="EQ473" s="21"/>
      <c r="ER473" s="21"/>
      <c r="ES473" s="21"/>
      <c r="ET473" s="21"/>
      <c r="EU473" s="21"/>
      <c r="EV473" s="21"/>
      <c r="EW473" s="21"/>
      <c r="EX473" s="21"/>
      <c r="EY473" s="21"/>
      <c r="EZ473" s="21"/>
      <c r="FA473" s="21"/>
      <c r="FB473" s="21"/>
      <c r="FC473" s="21"/>
      <c r="FD473" s="21"/>
      <c r="FE473" s="21"/>
      <c r="FF473" s="21"/>
      <c r="FG473" s="21"/>
      <c r="FH473" s="21"/>
      <c r="FI473" s="21"/>
      <c r="FJ473" s="21"/>
      <c r="FK473" s="21"/>
      <c r="FL473" s="21"/>
      <c r="FM473" s="21"/>
      <c r="FN473" s="21"/>
      <c r="FO473" s="21"/>
      <c r="FP473" s="21"/>
      <c r="FQ473" s="21"/>
      <c r="FR473" s="21"/>
      <c r="FS473" s="21"/>
      <c r="FT473" s="21"/>
      <c r="FU473" s="21"/>
      <c r="FV473" s="21"/>
      <c r="FW473" s="21"/>
      <c r="FX473" s="21"/>
      <c r="FY473" s="21"/>
      <c r="FZ473" s="21"/>
      <c r="GA473" s="21"/>
      <c r="GB473" s="21"/>
      <c r="GC473" s="21"/>
      <c r="GD473" s="21"/>
      <c r="GE473" s="21"/>
      <c r="GF473" s="21"/>
      <c r="GG473" s="21"/>
      <c r="GH473" s="21"/>
      <c r="GI473" s="21"/>
      <c r="GJ473" s="21"/>
      <c r="GK473" s="21"/>
      <c r="GL473" s="21"/>
      <c r="GM473" s="21"/>
      <c r="GN473" s="21"/>
      <c r="GO473" s="21"/>
      <c r="GP473" s="21"/>
      <c r="GQ473" s="21"/>
      <c r="GR473" s="21"/>
      <c r="GS473" s="21"/>
      <c r="GT473" s="21"/>
      <c r="GU473" s="21"/>
      <c r="GV473" s="21"/>
      <c r="GW473" s="21"/>
      <c r="GX473" s="21"/>
      <c r="GY473" s="21"/>
      <c r="GZ473" s="21"/>
      <c r="HA473" s="21"/>
      <c r="HB473" s="21"/>
      <c r="HC473" s="21"/>
      <c r="HD473" s="21"/>
      <c r="HE473" s="21"/>
      <c r="HF473" s="21"/>
      <c r="HG473" s="21"/>
      <c r="HH473" s="21"/>
      <c r="HI473" s="21"/>
      <c r="HJ473" s="21"/>
      <c r="HK473" s="21"/>
      <c r="HL473" s="21"/>
      <c r="HM473" s="21"/>
      <c r="HN473" s="21"/>
      <c r="HO473" s="21"/>
      <c r="HP473" s="21"/>
      <c r="HQ473" s="21"/>
      <c r="HR473" s="21"/>
      <c r="HS473" s="21"/>
      <c r="HT473" s="21"/>
      <c r="HU473" s="21"/>
      <c r="HV473" s="21"/>
      <c r="HW473" s="21"/>
      <c r="HX473" s="21"/>
      <c r="HY473" s="21"/>
      <c r="HZ473" s="21"/>
      <c r="IA473" s="21"/>
      <c r="IB473" s="21"/>
      <c r="IC473" s="21"/>
      <c r="ID473" s="21"/>
    </row>
    <row r="474" spans="1:238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  <c r="DB474" s="21"/>
      <c r="DC474" s="21"/>
      <c r="DD474" s="21"/>
      <c r="DE474" s="21"/>
      <c r="DF474" s="21"/>
      <c r="DG474" s="21"/>
      <c r="DH474" s="21"/>
      <c r="DI474" s="21"/>
      <c r="DJ474" s="21"/>
      <c r="DK474" s="21"/>
      <c r="DL474" s="21"/>
      <c r="DM474" s="21"/>
      <c r="DN474" s="21"/>
      <c r="DO474" s="21"/>
      <c r="DP474" s="21"/>
      <c r="DQ474" s="21"/>
      <c r="DR474" s="21"/>
      <c r="DS474" s="21"/>
      <c r="DT474" s="21"/>
      <c r="DU474" s="21"/>
      <c r="DV474" s="21"/>
      <c r="DW474" s="21"/>
      <c r="DX474" s="21"/>
      <c r="DY474" s="21"/>
      <c r="DZ474" s="21"/>
      <c r="EA474" s="21"/>
      <c r="EB474" s="21"/>
      <c r="EC474" s="21"/>
      <c r="ED474" s="21"/>
      <c r="EE474" s="21"/>
      <c r="EF474" s="21"/>
      <c r="EG474" s="21"/>
      <c r="EH474" s="21"/>
      <c r="EI474" s="21"/>
      <c r="EJ474" s="21"/>
      <c r="EK474" s="21"/>
      <c r="EL474" s="21"/>
      <c r="EM474" s="21"/>
      <c r="EN474" s="21"/>
      <c r="EO474" s="21"/>
      <c r="EP474" s="21"/>
      <c r="EQ474" s="21"/>
      <c r="ER474" s="21"/>
      <c r="ES474" s="21"/>
      <c r="ET474" s="21"/>
      <c r="EU474" s="21"/>
      <c r="EV474" s="21"/>
      <c r="EW474" s="21"/>
      <c r="EX474" s="21"/>
      <c r="EY474" s="21"/>
      <c r="EZ474" s="21"/>
      <c r="FA474" s="21"/>
      <c r="FB474" s="21"/>
      <c r="FC474" s="21"/>
      <c r="FD474" s="21"/>
      <c r="FE474" s="21"/>
      <c r="FF474" s="21"/>
      <c r="FG474" s="21"/>
      <c r="FH474" s="21"/>
      <c r="FI474" s="21"/>
      <c r="FJ474" s="21"/>
      <c r="FK474" s="21"/>
      <c r="FL474" s="21"/>
      <c r="FM474" s="21"/>
      <c r="FN474" s="21"/>
      <c r="FO474" s="21"/>
      <c r="FP474" s="21"/>
      <c r="FQ474" s="21"/>
      <c r="FR474" s="21"/>
      <c r="FS474" s="21"/>
      <c r="FT474" s="21"/>
      <c r="FU474" s="21"/>
      <c r="FV474" s="21"/>
      <c r="FW474" s="21"/>
      <c r="FX474" s="21"/>
      <c r="FY474" s="21"/>
      <c r="FZ474" s="21"/>
      <c r="GA474" s="21"/>
      <c r="GB474" s="21"/>
      <c r="GC474" s="21"/>
      <c r="GD474" s="21"/>
      <c r="GE474" s="21"/>
      <c r="GF474" s="21"/>
      <c r="GG474" s="21"/>
      <c r="GH474" s="21"/>
      <c r="GI474" s="21"/>
      <c r="GJ474" s="21"/>
      <c r="GK474" s="21"/>
      <c r="GL474" s="21"/>
      <c r="GM474" s="21"/>
      <c r="GN474" s="21"/>
      <c r="GO474" s="21"/>
      <c r="GP474" s="21"/>
      <c r="GQ474" s="21"/>
      <c r="GR474" s="21"/>
      <c r="GS474" s="21"/>
      <c r="GT474" s="21"/>
      <c r="GU474" s="21"/>
      <c r="GV474" s="21"/>
      <c r="GW474" s="21"/>
      <c r="GX474" s="21"/>
      <c r="GY474" s="21"/>
      <c r="GZ474" s="21"/>
      <c r="HA474" s="21"/>
      <c r="HB474" s="21"/>
      <c r="HC474" s="21"/>
      <c r="HD474" s="21"/>
      <c r="HE474" s="21"/>
      <c r="HF474" s="21"/>
      <c r="HG474" s="21"/>
      <c r="HH474" s="21"/>
      <c r="HI474" s="21"/>
      <c r="HJ474" s="21"/>
      <c r="HK474" s="21"/>
      <c r="HL474" s="21"/>
      <c r="HM474" s="21"/>
      <c r="HN474" s="21"/>
      <c r="HO474" s="21"/>
      <c r="HP474" s="21"/>
      <c r="HQ474" s="21"/>
      <c r="HR474" s="21"/>
      <c r="HS474" s="21"/>
      <c r="HT474" s="21"/>
      <c r="HU474" s="21"/>
      <c r="HV474" s="21"/>
      <c r="HW474" s="21"/>
      <c r="HX474" s="21"/>
      <c r="HY474" s="21"/>
      <c r="HZ474" s="21"/>
      <c r="IA474" s="21"/>
      <c r="IB474" s="21"/>
      <c r="IC474" s="21"/>
      <c r="ID474" s="21"/>
    </row>
    <row r="475" spans="1:238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  <c r="DB475" s="21"/>
      <c r="DC475" s="21"/>
      <c r="DD475" s="21"/>
      <c r="DE475" s="21"/>
      <c r="DF475" s="21"/>
      <c r="DG475" s="21"/>
      <c r="DH475" s="21"/>
      <c r="DI475" s="21"/>
      <c r="DJ475" s="21"/>
      <c r="DK475" s="21"/>
      <c r="DL475" s="21"/>
      <c r="DM475" s="21"/>
      <c r="DN475" s="21"/>
      <c r="DO475" s="21"/>
      <c r="DP475" s="21"/>
      <c r="DQ475" s="21"/>
      <c r="DR475" s="21"/>
      <c r="DS475" s="21"/>
      <c r="DT475" s="21"/>
      <c r="DU475" s="21"/>
      <c r="DV475" s="21"/>
      <c r="DW475" s="21"/>
      <c r="DX475" s="21"/>
      <c r="DY475" s="21"/>
      <c r="DZ475" s="21"/>
      <c r="EA475" s="21"/>
      <c r="EB475" s="21"/>
      <c r="EC475" s="21"/>
      <c r="ED475" s="21"/>
      <c r="EE475" s="21"/>
      <c r="EF475" s="21"/>
      <c r="EG475" s="21"/>
      <c r="EH475" s="21"/>
      <c r="EI475" s="21"/>
      <c r="EJ475" s="21"/>
      <c r="EK475" s="21"/>
      <c r="EL475" s="21"/>
      <c r="EM475" s="21"/>
      <c r="EN475" s="21"/>
      <c r="EO475" s="21"/>
      <c r="EP475" s="21"/>
      <c r="EQ475" s="21"/>
      <c r="ER475" s="21"/>
      <c r="ES475" s="21"/>
      <c r="ET475" s="21"/>
      <c r="EU475" s="21"/>
      <c r="EV475" s="21"/>
      <c r="EW475" s="21"/>
      <c r="EX475" s="21"/>
      <c r="EY475" s="21"/>
      <c r="EZ475" s="21"/>
      <c r="FA475" s="21"/>
      <c r="FB475" s="21"/>
      <c r="FC475" s="21"/>
      <c r="FD475" s="21"/>
      <c r="FE475" s="21"/>
      <c r="FF475" s="21"/>
      <c r="FG475" s="21"/>
      <c r="FH475" s="21"/>
      <c r="FI475" s="21"/>
      <c r="FJ475" s="21"/>
      <c r="FK475" s="21"/>
      <c r="FL475" s="21"/>
      <c r="FM475" s="21"/>
      <c r="FN475" s="21"/>
      <c r="FO475" s="21"/>
      <c r="FP475" s="21"/>
      <c r="FQ475" s="21"/>
      <c r="FR475" s="21"/>
      <c r="FS475" s="21"/>
      <c r="FT475" s="21"/>
      <c r="FU475" s="21"/>
      <c r="FV475" s="21"/>
      <c r="FW475" s="21"/>
      <c r="FX475" s="21"/>
      <c r="FY475" s="21"/>
      <c r="FZ475" s="21"/>
      <c r="GA475" s="21"/>
      <c r="GB475" s="21"/>
      <c r="GC475" s="21"/>
      <c r="GD475" s="21"/>
      <c r="GE475" s="21"/>
      <c r="GF475" s="21"/>
      <c r="GG475" s="21"/>
      <c r="GH475" s="21"/>
      <c r="GI475" s="21"/>
      <c r="GJ475" s="21"/>
      <c r="GK475" s="21"/>
      <c r="GL475" s="21"/>
      <c r="GM475" s="21"/>
      <c r="GN475" s="21"/>
      <c r="GO475" s="21"/>
      <c r="GP475" s="21"/>
      <c r="GQ475" s="21"/>
      <c r="GR475" s="21"/>
      <c r="GS475" s="21"/>
      <c r="GT475" s="21"/>
      <c r="GU475" s="21"/>
      <c r="GV475" s="21"/>
      <c r="GW475" s="21"/>
      <c r="GX475" s="21"/>
      <c r="GY475" s="21"/>
      <c r="GZ475" s="21"/>
      <c r="HA475" s="21"/>
      <c r="HB475" s="21"/>
      <c r="HC475" s="21"/>
      <c r="HD475" s="21"/>
      <c r="HE475" s="21"/>
      <c r="HF475" s="21"/>
      <c r="HG475" s="21"/>
      <c r="HH475" s="21"/>
      <c r="HI475" s="21"/>
      <c r="HJ475" s="21"/>
      <c r="HK475" s="21"/>
      <c r="HL475" s="21"/>
      <c r="HM475" s="21"/>
      <c r="HN475" s="21"/>
      <c r="HO475" s="21"/>
      <c r="HP475" s="21"/>
      <c r="HQ475" s="21"/>
      <c r="HR475" s="21"/>
      <c r="HS475" s="21"/>
      <c r="HT475" s="21"/>
      <c r="HU475" s="21"/>
      <c r="HV475" s="21"/>
      <c r="HW475" s="21"/>
      <c r="HX475" s="21"/>
      <c r="HY475" s="21"/>
      <c r="HZ475" s="21"/>
      <c r="IA475" s="21"/>
      <c r="IB475" s="21"/>
      <c r="IC475" s="21"/>
      <c r="ID475" s="21"/>
    </row>
    <row r="476" spans="1:238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  <c r="DB476" s="21"/>
      <c r="DC476" s="21"/>
      <c r="DD476" s="21"/>
      <c r="DE476" s="21"/>
      <c r="DF476" s="21"/>
      <c r="DG476" s="21"/>
      <c r="DH476" s="21"/>
      <c r="DI476" s="21"/>
      <c r="DJ476" s="21"/>
      <c r="DK476" s="21"/>
      <c r="DL476" s="21"/>
      <c r="DM476" s="21"/>
      <c r="DN476" s="21"/>
      <c r="DO476" s="21"/>
      <c r="DP476" s="21"/>
      <c r="DQ476" s="21"/>
      <c r="DR476" s="21"/>
      <c r="DS476" s="21"/>
      <c r="DT476" s="21"/>
      <c r="DU476" s="21"/>
      <c r="DV476" s="21"/>
      <c r="DW476" s="21"/>
      <c r="DX476" s="21"/>
      <c r="DY476" s="21"/>
      <c r="DZ476" s="21"/>
      <c r="EA476" s="21"/>
      <c r="EB476" s="21"/>
      <c r="EC476" s="21"/>
      <c r="ED476" s="21"/>
      <c r="EE476" s="21"/>
      <c r="EF476" s="21"/>
      <c r="EG476" s="21"/>
      <c r="EH476" s="21"/>
      <c r="EI476" s="21"/>
      <c r="EJ476" s="21"/>
      <c r="EK476" s="21"/>
      <c r="EL476" s="21"/>
      <c r="EM476" s="21"/>
      <c r="EN476" s="21"/>
      <c r="EO476" s="21"/>
      <c r="EP476" s="21"/>
      <c r="EQ476" s="21"/>
      <c r="ER476" s="21"/>
      <c r="ES476" s="21"/>
      <c r="ET476" s="21"/>
      <c r="EU476" s="21"/>
      <c r="EV476" s="21"/>
      <c r="EW476" s="21"/>
      <c r="EX476" s="21"/>
      <c r="EY476" s="21"/>
      <c r="EZ476" s="21"/>
      <c r="FA476" s="21"/>
      <c r="FB476" s="21"/>
      <c r="FC476" s="21"/>
      <c r="FD476" s="21"/>
      <c r="FE476" s="21"/>
      <c r="FF476" s="21"/>
      <c r="FG476" s="21"/>
      <c r="FH476" s="21"/>
      <c r="FI476" s="21"/>
      <c r="FJ476" s="21"/>
      <c r="FK476" s="21"/>
      <c r="FL476" s="21"/>
      <c r="FM476" s="21"/>
      <c r="FN476" s="21"/>
      <c r="FO476" s="21"/>
      <c r="FP476" s="21"/>
      <c r="FQ476" s="21"/>
      <c r="FR476" s="21"/>
      <c r="FS476" s="21"/>
      <c r="FT476" s="21"/>
      <c r="FU476" s="21"/>
      <c r="FV476" s="21"/>
      <c r="FW476" s="21"/>
      <c r="FX476" s="21"/>
      <c r="FY476" s="21"/>
      <c r="FZ476" s="21"/>
      <c r="GA476" s="21"/>
      <c r="GB476" s="21"/>
      <c r="GC476" s="21"/>
      <c r="GD476" s="21"/>
      <c r="GE476" s="21"/>
      <c r="GF476" s="21"/>
      <c r="GG476" s="21"/>
      <c r="GH476" s="21"/>
      <c r="GI476" s="21"/>
      <c r="GJ476" s="21"/>
      <c r="GK476" s="21"/>
      <c r="GL476" s="21"/>
      <c r="GM476" s="21"/>
      <c r="GN476" s="21"/>
      <c r="GO476" s="21"/>
      <c r="GP476" s="21"/>
      <c r="GQ476" s="21"/>
      <c r="GR476" s="21"/>
      <c r="GS476" s="21"/>
      <c r="GT476" s="21"/>
      <c r="GU476" s="21"/>
      <c r="GV476" s="21"/>
      <c r="GW476" s="21"/>
      <c r="GX476" s="21"/>
      <c r="GY476" s="21"/>
      <c r="GZ476" s="21"/>
      <c r="HA476" s="21"/>
      <c r="HB476" s="21"/>
      <c r="HC476" s="21"/>
      <c r="HD476" s="21"/>
      <c r="HE476" s="21"/>
      <c r="HF476" s="21"/>
      <c r="HG476" s="21"/>
      <c r="HH476" s="21"/>
      <c r="HI476" s="21"/>
      <c r="HJ476" s="21"/>
      <c r="HK476" s="21"/>
      <c r="HL476" s="21"/>
      <c r="HM476" s="21"/>
      <c r="HN476" s="21"/>
      <c r="HO476" s="21"/>
      <c r="HP476" s="21"/>
      <c r="HQ476" s="21"/>
      <c r="HR476" s="21"/>
      <c r="HS476" s="21"/>
      <c r="HT476" s="21"/>
      <c r="HU476" s="21"/>
      <c r="HV476" s="21"/>
      <c r="HW476" s="21"/>
      <c r="HX476" s="21"/>
      <c r="HY476" s="21"/>
      <c r="HZ476" s="21"/>
      <c r="IA476" s="21"/>
      <c r="IB476" s="21"/>
      <c r="IC476" s="21"/>
      <c r="ID476" s="21"/>
    </row>
    <row r="477" spans="1:238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  <c r="DB477" s="21"/>
      <c r="DC477" s="21"/>
      <c r="DD477" s="21"/>
      <c r="DE477" s="21"/>
      <c r="DF477" s="21"/>
      <c r="DG477" s="21"/>
      <c r="DH477" s="21"/>
      <c r="DI477" s="21"/>
      <c r="DJ477" s="21"/>
      <c r="DK477" s="21"/>
      <c r="DL477" s="21"/>
      <c r="DM477" s="21"/>
      <c r="DN477" s="21"/>
      <c r="DO477" s="21"/>
      <c r="DP477" s="21"/>
      <c r="DQ477" s="21"/>
      <c r="DR477" s="21"/>
      <c r="DS477" s="21"/>
      <c r="DT477" s="21"/>
      <c r="DU477" s="21"/>
      <c r="DV477" s="21"/>
      <c r="DW477" s="21"/>
      <c r="DX477" s="21"/>
      <c r="DY477" s="21"/>
      <c r="DZ477" s="21"/>
      <c r="EA477" s="21"/>
      <c r="EB477" s="21"/>
      <c r="EC477" s="21"/>
      <c r="ED477" s="21"/>
      <c r="EE477" s="21"/>
      <c r="EF477" s="21"/>
      <c r="EG477" s="21"/>
      <c r="EH477" s="21"/>
      <c r="EI477" s="21"/>
      <c r="EJ477" s="21"/>
      <c r="EK477" s="21"/>
      <c r="EL477" s="21"/>
      <c r="EM477" s="21"/>
      <c r="EN477" s="21"/>
      <c r="EO477" s="21"/>
      <c r="EP477" s="21"/>
      <c r="EQ477" s="21"/>
      <c r="ER477" s="21"/>
      <c r="ES477" s="21"/>
      <c r="ET477" s="21"/>
      <c r="EU477" s="21"/>
      <c r="EV477" s="21"/>
      <c r="EW477" s="21"/>
      <c r="EX477" s="21"/>
      <c r="EY477" s="21"/>
      <c r="EZ477" s="21"/>
      <c r="FA477" s="21"/>
      <c r="FB477" s="21"/>
      <c r="FC477" s="21"/>
      <c r="FD477" s="21"/>
      <c r="FE477" s="21"/>
      <c r="FF477" s="21"/>
      <c r="FG477" s="21"/>
      <c r="FH477" s="21"/>
      <c r="FI477" s="21"/>
      <c r="FJ477" s="21"/>
      <c r="FK477" s="21"/>
      <c r="FL477" s="21"/>
      <c r="FM477" s="21"/>
      <c r="FN477" s="21"/>
      <c r="FO477" s="21"/>
      <c r="FP477" s="21"/>
      <c r="FQ477" s="21"/>
      <c r="FR477" s="21"/>
      <c r="FS477" s="21"/>
      <c r="FT477" s="21"/>
      <c r="FU477" s="21"/>
      <c r="FV477" s="21"/>
      <c r="FW477" s="21"/>
      <c r="FX477" s="21"/>
      <c r="FY477" s="21"/>
      <c r="FZ477" s="21"/>
      <c r="GA477" s="21"/>
      <c r="GB477" s="21"/>
      <c r="GC477" s="21"/>
      <c r="GD477" s="21"/>
      <c r="GE477" s="21"/>
      <c r="GF477" s="21"/>
      <c r="GG477" s="21"/>
      <c r="GH477" s="21"/>
      <c r="GI477" s="21"/>
      <c r="GJ477" s="21"/>
      <c r="GK477" s="21"/>
      <c r="GL477" s="21"/>
      <c r="GM477" s="21"/>
      <c r="GN477" s="21"/>
      <c r="GO477" s="21"/>
      <c r="GP477" s="21"/>
      <c r="GQ477" s="21"/>
      <c r="GR477" s="21"/>
      <c r="GS477" s="21"/>
      <c r="GT477" s="21"/>
      <c r="GU477" s="21"/>
      <c r="GV477" s="21"/>
      <c r="GW477" s="21"/>
      <c r="GX477" s="21"/>
      <c r="GY477" s="21"/>
      <c r="GZ477" s="21"/>
      <c r="HA477" s="21"/>
      <c r="HB477" s="21"/>
      <c r="HC477" s="21"/>
      <c r="HD477" s="21"/>
      <c r="HE477" s="21"/>
      <c r="HF477" s="21"/>
      <c r="HG477" s="21"/>
      <c r="HH477" s="21"/>
      <c r="HI477" s="21"/>
      <c r="HJ477" s="21"/>
      <c r="HK477" s="21"/>
      <c r="HL477" s="21"/>
      <c r="HM477" s="21"/>
      <c r="HN477" s="21"/>
      <c r="HO477" s="21"/>
      <c r="HP477" s="21"/>
      <c r="HQ477" s="21"/>
      <c r="HR477" s="21"/>
      <c r="HS477" s="21"/>
      <c r="HT477" s="21"/>
      <c r="HU477" s="21"/>
      <c r="HV477" s="21"/>
      <c r="HW477" s="21"/>
      <c r="HX477" s="21"/>
      <c r="HY477" s="21"/>
      <c r="HZ477" s="21"/>
      <c r="IA477" s="21"/>
      <c r="IB477" s="21"/>
      <c r="IC477" s="21"/>
      <c r="ID477" s="21"/>
    </row>
    <row r="478" spans="1:23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  <c r="DB478" s="21"/>
      <c r="DC478" s="21"/>
      <c r="DD478" s="21"/>
      <c r="DE478" s="21"/>
      <c r="DF478" s="21"/>
      <c r="DG478" s="21"/>
      <c r="DH478" s="21"/>
      <c r="DI478" s="21"/>
      <c r="DJ478" s="21"/>
      <c r="DK478" s="21"/>
      <c r="DL478" s="21"/>
      <c r="DM478" s="21"/>
      <c r="DN478" s="21"/>
      <c r="DO478" s="21"/>
      <c r="DP478" s="21"/>
      <c r="DQ478" s="21"/>
      <c r="DR478" s="21"/>
      <c r="DS478" s="21"/>
      <c r="DT478" s="21"/>
      <c r="DU478" s="21"/>
      <c r="DV478" s="21"/>
      <c r="DW478" s="21"/>
      <c r="DX478" s="21"/>
      <c r="DY478" s="21"/>
      <c r="DZ478" s="21"/>
      <c r="EA478" s="21"/>
      <c r="EB478" s="21"/>
      <c r="EC478" s="21"/>
      <c r="ED478" s="21"/>
      <c r="EE478" s="21"/>
      <c r="EF478" s="21"/>
      <c r="EG478" s="21"/>
      <c r="EH478" s="21"/>
      <c r="EI478" s="21"/>
      <c r="EJ478" s="21"/>
      <c r="EK478" s="21"/>
      <c r="EL478" s="21"/>
      <c r="EM478" s="21"/>
      <c r="EN478" s="21"/>
      <c r="EO478" s="21"/>
      <c r="EP478" s="21"/>
      <c r="EQ478" s="21"/>
      <c r="ER478" s="21"/>
      <c r="ES478" s="21"/>
      <c r="ET478" s="21"/>
      <c r="EU478" s="21"/>
      <c r="EV478" s="21"/>
      <c r="EW478" s="21"/>
      <c r="EX478" s="21"/>
      <c r="EY478" s="21"/>
      <c r="EZ478" s="21"/>
      <c r="FA478" s="21"/>
      <c r="FB478" s="21"/>
      <c r="FC478" s="21"/>
      <c r="FD478" s="21"/>
      <c r="FE478" s="21"/>
      <c r="FF478" s="21"/>
      <c r="FG478" s="21"/>
      <c r="FH478" s="21"/>
      <c r="FI478" s="21"/>
      <c r="FJ478" s="21"/>
      <c r="FK478" s="21"/>
      <c r="FL478" s="21"/>
      <c r="FM478" s="21"/>
      <c r="FN478" s="21"/>
      <c r="FO478" s="21"/>
      <c r="FP478" s="21"/>
      <c r="FQ478" s="21"/>
      <c r="FR478" s="21"/>
      <c r="FS478" s="21"/>
      <c r="FT478" s="21"/>
      <c r="FU478" s="21"/>
      <c r="FV478" s="21"/>
      <c r="FW478" s="21"/>
      <c r="FX478" s="21"/>
      <c r="FY478" s="21"/>
      <c r="FZ478" s="21"/>
      <c r="GA478" s="21"/>
      <c r="GB478" s="21"/>
      <c r="GC478" s="21"/>
      <c r="GD478" s="21"/>
      <c r="GE478" s="21"/>
      <c r="GF478" s="21"/>
      <c r="GG478" s="21"/>
      <c r="GH478" s="21"/>
      <c r="GI478" s="21"/>
      <c r="GJ478" s="21"/>
      <c r="GK478" s="21"/>
      <c r="GL478" s="21"/>
      <c r="GM478" s="21"/>
      <c r="GN478" s="21"/>
      <c r="GO478" s="21"/>
      <c r="GP478" s="21"/>
      <c r="GQ478" s="21"/>
      <c r="GR478" s="21"/>
      <c r="GS478" s="21"/>
      <c r="GT478" s="21"/>
      <c r="GU478" s="21"/>
      <c r="GV478" s="21"/>
      <c r="GW478" s="21"/>
      <c r="GX478" s="21"/>
      <c r="GY478" s="21"/>
      <c r="GZ478" s="21"/>
      <c r="HA478" s="21"/>
      <c r="HB478" s="21"/>
      <c r="HC478" s="21"/>
      <c r="HD478" s="21"/>
      <c r="HE478" s="21"/>
      <c r="HF478" s="21"/>
      <c r="HG478" s="21"/>
      <c r="HH478" s="21"/>
      <c r="HI478" s="21"/>
      <c r="HJ478" s="21"/>
      <c r="HK478" s="21"/>
      <c r="HL478" s="21"/>
      <c r="HM478" s="21"/>
      <c r="HN478" s="21"/>
      <c r="HO478" s="21"/>
      <c r="HP478" s="21"/>
      <c r="HQ478" s="21"/>
      <c r="HR478" s="21"/>
      <c r="HS478" s="21"/>
      <c r="HT478" s="21"/>
      <c r="HU478" s="21"/>
      <c r="HV478" s="21"/>
      <c r="HW478" s="21"/>
      <c r="HX478" s="21"/>
      <c r="HY478" s="21"/>
      <c r="HZ478" s="21"/>
      <c r="IA478" s="21"/>
      <c r="IB478" s="21"/>
      <c r="IC478" s="21"/>
      <c r="ID478" s="21"/>
    </row>
    <row r="479" spans="1:238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  <c r="DB479" s="21"/>
      <c r="DC479" s="21"/>
      <c r="DD479" s="21"/>
      <c r="DE479" s="21"/>
      <c r="DF479" s="21"/>
      <c r="DG479" s="21"/>
      <c r="DH479" s="21"/>
      <c r="DI479" s="21"/>
      <c r="DJ479" s="21"/>
      <c r="DK479" s="21"/>
      <c r="DL479" s="21"/>
      <c r="DM479" s="21"/>
      <c r="DN479" s="21"/>
      <c r="DO479" s="21"/>
      <c r="DP479" s="21"/>
      <c r="DQ479" s="21"/>
      <c r="DR479" s="21"/>
      <c r="DS479" s="21"/>
      <c r="DT479" s="21"/>
      <c r="DU479" s="21"/>
      <c r="DV479" s="21"/>
      <c r="DW479" s="21"/>
      <c r="DX479" s="21"/>
      <c r="DY479" s="21"/>
      <c r="DZ479" s="21"/>
      <c r="EA479" s="21"/>
      <c r="EB479" s="21"/>
      <c r="EC479" s="21"/>
      <c r="ED479" s="21"/>
      <c r="EE479" s="21"/>
      <c r="EF479" s="21"/>
      <c r="EG479" s="21"/>
      <c r="EH479" s="21"/>
      <c r="EI479" s="21"/>
      <c r="EJ479" s="21"/>
      <c r="EK479" s="21"/>
      <c r="EL479" s="21"/>
      <c r="EM479" s="21"/>
      <c r="EN479" s="21"/>
      <c r="EO479" s="21"/>
      <c r="EP479" s="21"/>
      <c r="EQ479" s="21"/>
      <c r="ER479" s="21"/>
      <c r="ES479" s="21"/>
      <c r="ET479" s="21"/>
      <c r="EU479" s="21"/>
      <c r="EV479" s="21"/>
      <c r="EW479" s="21"/>
      <c r="EX479" s="21"/>
      <c r="EY479" s="21"/>
      <c r="EZ479" s="21"/>
      <c r="FA479" s="21"/>
      <c r="FB479" s="21"/>
      <c r="FC479" s="21"/>
      <c r="FD479" s="21"/>
      <c r="FE479" s="21"/>
      <c r="FF479" s="21"/>
      <c r="FG479" s="21"/>
      <c r="FH479" s="21"/>
      <c r="FI479" s="21"/>
      <c r="FJ479" s="21"/>
      <c r="FK479" s="21"/>
      <c r="FL479" s="21"/>
      <c r="FM479" s="21"/>
      <c r="FN479" s="21"/>
      <c r="FO479" s="21"/>
      <c r="FP479" s="21"/>
      <c r="FQ479" s="21"/>
      <c r="FR479" s="21"/>
      <c r="FS479" s="21"/>
      <c r="FT479" s="21"/>
      <c r="FU479" s="21"/>
      <c r="FV479" s="21"/>
      <c r="FW479" s="21"/>
      <c r="FX479" s="21"/>
      <c r="FY479" s="21"/>
      <c r="FZ479" s="21"/>
      <c r="GA479" s="21"/>
      <c r="GB479" s="21"/>
      <c r="GC479" s="21"/>
      <c r="GD479" s="21"/>
      <c r="GE479" s="21"/>
      <c r="GF479" s="21"/>
      <c r="GG479" s="21"/>
      <c r="GH479" s="21"/>
      <c r="GI479" s="21"/>
      <c r="GJ479" s="21"/>
      <c r="GK479" s="21"/>
      <c r="GL479" s="21"/>
      <c r="GM479" s="21"/>
      <c r="GN479" s="21"/>
      <c r="GO479" s="21"/>
      <c r="GP479" s="21"/>
      <c r="GQ479" s="21"/>
      <c r="GR479" s="21"/>
      <c r="GS479" s="21"/>
      <c r="GT479" s="21"/>
      <c r="GU479" s="21"/>
      <c r="GV479" s="21"/>
      <c r="GW479" s="21"/>
      <c r="GX479" s="21"/>
      <c r="GY479" s="21"/>
      <c r="GZ479" s="21"/>
      <c r="HA479" s="21"/>
      <c r="HB479" s="21"/>
      <c r="HC479" s="21"/>
      <c r="HD479" s="21"/>
      <c r="HE479" s="21"/>
      <c r="HF479" s="21"/>
      <c r="HG479" s="21"/>
      <c r="HH479" s="21"/>
      <c r="HI479" s="21"/>
      <c r="HJ479" s="21"/>
      <c r="HK479" s="21"/>
      <c r="HL479" s="21"/>
      <c r="HM479" s="21"/>
      <c r="HN479" s="21"/>
      <c r="HO479" s="21"/>
      <c r="HP479" s="21"/>
      <c r="HQ479" s="21"/>
      <c r="HR479" s="21"/>
      <c r="HS479" s="21"/>
      <c r="HT479" s="21"/>
      <c r="HU479" s="21"/>
      <c r="HV479" s="21"/>
      <c r="HW479" s="21"/>
      <c r="HX479" s="21"/>
      <c r="HY479" s="21"/>
      <c r="HZ479" s="21"/>
      <c r="IA479" s="21"/>
      <c r="IB479" s="21"/>
      <c r="IC479" s="21"/>
      <c r="ID479" s="21"/>
    </row>
    <row r="480" spans="1:238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  <c r="DB480" s="21"/>
      <c r="DC480" s="21"/>
      <c r="DD480" s="21"/>
      <c r="DE480" s="21"/>
      <c r="DF480" s="21"/>
      <c r="DG480" s="21"/>
      <c r="DH480" s="21"/>
      <c r="DI480" s="21"/>
      <c r="DJ480" s="21"/>
      <c r="DK480" s="21"/>
      <c r="DL480" s="21"/>
      <c r="DM480" s="21"/>
      <c r="DN480" s="21"/>
      <c r="DO480" s="21"/>
      <c r="DP480" s="21"/>
      <c r="DQ480" s="21"/>
      <c r="DR480" s="21"/>
      <c r="DS480" s="21"/>
      <c r="DT480" s="21"/>
      <c r="DU480" s="21"/>
      <c r="DV480" s="21"/>
      <c r="DW480" s="21"/>
      <c r="DX480" s="21"/>
      <c r="DY480" s="21"/>
      <c r="DZ480" s="21"/>
      <c r="EA480" s="21"/>
      <c r="EB480" s="21"/>
      <c r="EC480" s="21"/>
      <c r="ED480" s="21"/>
      <c r="EE480" s="21"/>
      <c r="EF480" s="21"/>
      <c r="EG480" s="21"/>
      <c r="EH480" s="21"/>
      <c r="EI480" s="21"/>
      <c r="EJ480" s="21"/>
      <c r="EK480" s="21"/>
      <c r="EL480" s="21"/>
      <c r="EM480" s="21"/>
      <c r="EN480" s="21"/>
      <c r="EO480" s="21"/>
      <c r="EP480" s="21"/>
      <c r="EQ480" s="21"/>
      <c r="ER480" s="21"/>
      <c r="ES480" s="21"/>
      <c r="ET480" s="21"/>
      <c r="EU480" s="21"/>
      <c r="EV480" s="21"/>
      <c r="EW480" s="21"/>
      <c r="EX480" s="21"/>
      <c r="EY480" s="21"/>
      <c r="EZ480" s="21"/>
      <c r="FA480" s="21"/>
      <c r="FB480" s="21"/>
      <c r="FC480" s="21"/>
      <c r="FD480" s="21"/>
      <c r="FE480" s="21"/>
      <c r="FF480" s="21"/>
      <c r="FG480" s="21"/>
      <c r="FH480" s="21"/>
      <c r="FI480" s="21"/>
      <c r="FJ480" s="21"/>
      <c r="FK480" s="21"/>
      <c r="FL480" s="21"/>
      <c r="FM480" s="21"/>
      <c r="FN480" s="21"/>
      <c r="FO480" s="21"/>
      <c r="FP480" s="21"/>
      <c r="FQ480" s="21"/>
      <c r="FR480" s="21"/>
      <c r="FS480" s="21"/>
      <c r="FT480" s="21"/>
      <c r="FU480" s="21"/>
      <c r="FV480" s="21"/>
      <c r="FW480" s="21"/>
      <c r="FX480" s="21"/>
      <c r="FY480" s="21"/>
      <c r="FZ480" s="21"/>
      <c r="GA480" s="21"/>
      <c r="GB480" s="21"/>
      <c r="GC480" s="21"/>
      <c r="GD480" s="21"/>
      <c r="GE480" s="21"/>
      <c r="GF480" s="21"/>
      <c r="GG480" s="21"/>
      <c r="GH480" s="21"/>
      <c r="GI480" s="21"/>
      <c r="GJ480" s="21"/>
      <c r="GK480" s="21"/>
      <c r="GL480" s="21"/>
      <c r="GM480" s="21"/>
      <c r="GN480" s="21"/>
      <c r="GO480" s="21"/>
      <c r="GP480" s="21"/>
      <c r="GQ480" s="21"/>
      <c r="GR480" s="21"/>
      <c r="GS480" s="21"/>
      <c r="GT480" s="21"/>
      <c r="GU480" s="21"/>
      <c r="GV480" s="21"/>
      <c r="GW480" s="21"/>
      <c r="GX480" s="21"/>
      <c r="GY480" s="21"/>
      <c r="GZ480" s="21"/>
      <c r="HA480" s="21"/>
      <c r="HB480" s="21"/>
      <c r="HC480" s="21"/>
      <c r="HD480" s="21"/>
      <c r="HE480" s="21"/>
      <c r="HF480" s="21"/>
      <c r="HG480" s="21"/>
      <c r="HH480" s="21"/>
      <c r="HI480" s="21"/>
      <c r="HJ480" s="21"/>
      <c r="HK480" s="21"/>
      <c r="HL480" s="21"/>
      <c r="HM480" s="21"/>
      <c r="HN480" s="21"/>
      <c r="HO480" s="21"/>
      <c r="HP480" s="21"/>
      <c r="HQ480" s="21"/>
      <c r="HR480" s="21"/>
      <c r="HS480" s="21"/>
      <c r="HT480" s="21"/>
      <c r="HU480" s="21"/>
      <c r="HV480" s="21"/>
      <c r="HW480" s="21"/>
      <c r="HX480" s="21"/>
      <c r="HY480" s="21"/>
      <c r="HZ480" s="21"/>
      <c r="IA480" s="21"/>
      <c r="IB480" s="21"/>
      <c r="IC480" s="21"/>
      <c r="ID480" s="21"/>
    </row>
    <row r="481" spans="1:238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  <c r="DB481" s="21"/>
      <c r="DC481" s="21"/>
      <c r="DD481" s="21"/>
      <c r="DE481" s="21"/>
      <c r="DF481" s="21"/>
      <c r="DG481" s="21"/>
      <c r="DH481" s="21"/>
      <c r="DI481" s="21"/>
      <c r="DJ481" s="21"/>
      <c r="DK481" s="21"/>
      <c r="DL481" s="21"/>
      <c r="DM481" s="21"/>
      <c r="DN481" s="21"/>
      <c r="DO481" s="21"/>
      <c r="DP481" s="21"/>
      <c r="DQ481" s="21"/>
      <c r="DR481" s="21"/>
      <c r="DS481" s="21"/>
      <c r="DT481" s="21"/>
      <c r="DU481" s="21"/>
      <c r="DV481" s="21"/>
      <c r="DW481" s="21"/>
      <c r="DX481" s="21"/>
      <c r="DY481" s="21"/>
      <c r="DZ481" s="21"/>
      <c r="EA481" s="21"/>
      <c r="EB481" s="21"/>
      <c r="EC481" s="21"/>
      <c r="ED481" s="21"/>
      <c r="EE481" s="21"/>
      <c r="EF481" s="21"/>
      <c r="EG481" s="21"/>
      <c r="EH481" s="21"/>
      <c r="EI481" s="21"/>
      <c r="EJ481" s="21"/>
      <c r="EK481" s="21"/>
      <c r="EL481" s="21"/>
      <c r="EM481" s="21"/>
      <c r="EN481" s="21"/>
      <c r="EO481" s="21"/>
      <c r="EP481" s="21"/>
      <c r="EQ481" s="21"/>
      <c r="ER481" s="21"/>
      <c r="ES481" s="21"/>
      <c r="ET481" s="21"/>
      <c r="EU481" s="21"/>
      <c r="EV481" s="21"/>
      <c r="EW481" s="21"/>
      <c r="EX481" s="21"/>
      <c r="EY481" s="21"/>
      <c r="EZ481" s="21"/>
      <c r="FA481" s="21"/>
      <c r="FB481" s="21"/>
      <c r="FC481" s="21"/>
      <c r="FD481" s="21"/>
      <c r="FE481" s="21"/>
      <c r="FF481" s="21"/>
      <c r="FG481" s="21"/>
      <c r="FH481" s="21"/>
      <c r="FI481" s="21"/>
      <c r="FJ481" s="21"/>
      <c r="FK481" s="21"/>
      <c r="FL481" s="21"/>
      <c r="FM481" s="21"/>
      <c r="FN481" s="21"/>
      <c r="FO481" s="21"/>
      <c r="FP481" s="21"/>
      <c r="FQ481" s="21"/>
      <c r="FR481" s="21"/>
      <c r="FS481" s="21"/>
      <c r="FT481" s="21"/>
      <c r="FU481" s="21"/>
      <c r="FV481" s="21"/>
      <c r="FW481" s="21"/>
      <c r="FX481" s="21"/>
      <c r="FY481" s="21"/>
      <c r="FZ481" s="21"/>
      <c r="GA481" s="21"/>
      <c r="GB481" s="21"/>
      <c r="GC481" s="21"/>
      <c r="GD481" s="21"/>
      <c r="GE481" s="21"/>
      <c r="GF481" s="21"/>
      <c r="GG481" s="21"/>
      <c r="GH481" s="21"/>
      <c r="GI481" s="21"/>
      <c r="GJ481" s="21"/>
      <c r="GK481" s="21"/>
      <c r="GL481" s="21"/>
      <c r="GM481" s="21"/>
      <c r="GN481" s="21"/>
      <c r="GO481" s="21"/>
      <c r="GP481" s="21"/>
      <c r="GQ481" s="21"/>
      <c r="GR481" s="21"/>
      <c r="GS481" s="21"/>
      <c r="GT481" s="21"/>
      <c r="GU481" s="21"/>
      <c r="GV481" s="21"/>
      <c r="GW481" s="21"/>
      <c r="GX481" s="21"/>
      <c r="GY481" s="21"/>
      <c r="GZ481" s="21"/>
      <c r="HA481" s="21"/>
      <c r="HB481" s="21"/>
      <c r="HC481" s="21"/>
      <c r="HD481" s="21"/>
      <c r="HE481" s="21"/>
      <c r="HF481" s="21"/>
      <c r="HG481" s="21"/>
      <c r="HH481" s="21"/>
      <c r="HI481" s="21"/>
      <c r="HJ481" s="21"/>
      <c r="HK481" s="21"/>
      <c r="HL481" s="21"/>
      <c r="HM481" s="21"/>
      <c r="HN481" s="21"/>
      <c r="HO481" s="21"/>
      <c r="HP481" s="21"/>
      <c r="HQ481" s="21"/>
      <c r="HR481" s="21"/>
      <c r="HS481" s="21"/>
      <c r="HT481" s="21"/>
      <c r="HU481" s="21"/>
      <c r="HV481" s="21"/>
      <c r="HW481" s="21"/>
      <c r="HX481" s="21"/>
      <c r="HY481" s="21"/>
      <c r="HZ481" s="21"/>
      <c r="IA481" s="21"/>
      <c r="IB481" s="21"/>
      <c r="IC481" s="21"/>
      <c r="ID481" s="21"/>
    </row>
    <row r="482" spans="1:238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  <c r="DB482" s="21"/>
      <c r="DC482" s="21"/>
      <c r="DD482" s="21"/>
      <c r="DE482" s="21"/>
      <c r="DF482" s="21"/>
      <c r="DG482" s="21"/>
      <c r="DH482" s="21"/>
      <c r="DI482" s="21"/>
      <c r="DJ482" s="21"/>
      <c r="DK482" s="21"/>
      <c r="DL482" s="21"/>
      <c r="DM482" s="21"/>
      <c r="DN482" s="21"/>
      <c r="DO482" s="21"/>
      <c r="DP482" s="21"/>
      <c r="DQ482" s="21"/>
      <c r="DR482" s="21"/>
      <c r="DS482" s="21"/>
      <c r="DT482" s="21"/>
      <c r="DU482" s="21"/>
      <c r="DV482" s="21"/>
      <c r="DW482" s="21"/>
      <c r="DX482" s="21"/>
      <c r="DY482" s="21"/>
      <c r="DZ482" s="21"/>
      <c r="EA482" s="21"/>
      <c r="EB482" s="21"/>
      <c r="EC482" s="21"/>
      <c r="ED482" s="21"/>
      <c r="EE482" s="21"/>
      <c r="EF482" s="21"/>
      <c r="EG482" s="21"/>
      <c r="EH482" s="21"/>
      <c r="EI482" s="21"/>
      <c r="EJ482" s="21"/>
      <c r="EK482" s="21"/>
      <c r="EL482" s="21"/>
      <c r="EM482" s="21"/>
      <c r="EN482" s="21"/>
      <c r="EO482" s="21"/>
      <c r="EP482" s="21"/>
      <c r="EQ482" s="21"/>
      <c r="ER482" s="21"/>
      <c r="ES482" s="21"/>
      <c r="ET482" s="21"/>
      <c r="EU482" s="21"/>
      <c r="EV482" s="21"/>
      <c r="EW482" s="21"/>
      <c r="EX482" s="21"/>
      <c r="EY482" s="21"/>
      <c r="EZ482" s="21"/>
      <c r="FA482" s="21"/>
      <c r="FB482" s="21"/>
      <c r="FC482" s="21"/>
      <c r="FD482" s="21"/>
      <c r="FE482" s="21"/>
      <c r="FF482" s="21"/>
      <c r="FG482" s="21"/>
      <c r="FH482" s="21"/>
      <c r="FI482" s="21"/>
      <c r="FJ482" s="21"/>
      <c r="FK482" s="21"/>
      <c r="FL482" s="21"/>
      <c r="FM482" s="21"/>
      <c r="FN482" s="21"/>
      <c r="FO482" s="21"/>
      <c r="FP482" s="21"/>
      <c r="FQ482" s="21"/>
      <c r="FR482" s="21"/>
      <c r="FS482" s="21"/>
      <c r="FT482" s="21"/>
      <c r="FU482" s="21"/>
      <c r="FV482" s="21"/>
      <c r="FW482" s="21"/>
      <c r="FX482" s="21"/>
      <c r="FY482" s="21"/>
      <c r="FZ482" s="21"/>
      <c r="GA482" s="21"/>
      <c r="GB482" s="21"/>
      <c r="GC482" s="21"/>
      <c r="GD482" s="21"/>
      <c r="GE482" s="21"/>
      <c r="GF482" s="21"/>
      <c r="GG482" s="21"/>
      <c r="GH482" s="21"/>
      <c r="GI482" s="21"/>
      <c r="GJ482" s="21"/>
      <c r="GK482" s="21"/>
      <c r="GL482" s="21"/>
      <c r="GM482" s="21"/>
      <c r="GN482" s="21"/>
      <c r="GO482" s="21"/>
      <c r="GP482" s="21"/>
      <c r="GQ482" s="21"/>
      <c r="GR482" s="21"/>
      <c r="GS482" s="21"/>
      <c r="GT482" s="21"/>
      <c r="GU482" s="21"/>
      <c r="GV482" s="21"/>
      <c r="GW482" s="21"/>
      <c r="GX482" s="21"/>
      <c r="GY482" s="21"/>
      <c r="GZ482" s="21"/>
      <c r="HA482" s="21"/>
      <c r="HB482" s="21"/>
      <c r="HC482" s="21"/>
      <c r="HD482" s="21"/>
      <c r="HE482" s="21"/>
      <c r="HF482" s="21"/>
      <c r="HG482" s="21"/>
      <c r="HH482" s="21"/>
      <c r="HI482" s="21"/>
      <c r="HJ482" s="21"/>
      <c r="HK482" s="21"/>
      <c r="HL482" s="21"/>
      <c r="HM482" s="21"/>
      <c r="HN482" s="21"/>
      <c r="HO482" s="21"/>
      <c r="HP482" s="21"/>
      <c r="HQ482" s="21"/>
      <c r="HR482" s="21"/>
      <c r="HS482" s="21"/>
      <c r="HT482" s="21"/>
      <c r="HU482" s="21"/>
      <c r="HV482" s="21"/>
      <c r="HW482" s="21"/>
      <c r="HX482" s="21"/>
      <c r="HY482" s="21"/>
      <c r="HZ482" s="21"/>
      <c r="IA482" s="21"/>
      <c r="IB482" s="21"/>
      <c r="IC482" s="21"/>
      <c r="ID482" s="21"/>
    </row>
    <row r="483" spans="1:238">
      <c r="A483" s="21"/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  <c r="DB483" s="21"/>
      <c r="DC483" s="21"/>
      <c r="DD483" s="21"/>
      <c r="DE483" s="21"/>
      <c r="DF483" s="21"/>
      <c r="DG483" s="21"/>
      <c r="DH483" s="21"/>
      <c r="DI483" s="21"/>
      <c r="DJ483" s="21"/>
      <c r="DK483" s="21"/>
      <c r="DL483" s="21"/>
      <c r="DM483" s="21"/>
      <c r="DN483" s="21"/>
      <c r="DO483" s="21"/>
      <c r="DP483" s="21"/>
      <c r="DQ483" s="21"/>
      <c r="DR483" s="21"/>
      <c r="DS483" s="21"/>
      <c r="DT483" s="21"/>
      <c r="DU483" s="21"/>
      <c r="DV483" s="21"/>
      <c r="DW483" s="21"/>
      <c r="DX483" s="21"/>
      <c r="DY483" s="21"/>
      <c r="DZ483" s="21"/>
      <c r="EA483" s="21"/>
      <c r="EB483" s="21"/>
      <c r="EC483" s="21"/>
      <c r="ED483" s="21"/>
      <c r="EE483" s="21"/>
      <c r="EF483" s="21"/>
      <c r="EG483" s="21"/>
      <c r="EH483" s="21"/>
      <c r="EI483" s="21"/>
      <c r="EJ483" s="21"/>
      <c r="EK483" s="21"/>
      <c r="EL483" s="21"/>
      <c r="EM483" s="21"/>
      <c r="EN483" s="21"/>
      <c r="EO483" s="21"/>
      <c r="EP483" s="21"/>
      <c r="EQ483" s="21"/>
      <c r="ER483" s="21"/>
      <c r="ES483" s="21"/>
      <c r="ET483" s="21"/>
      <c r="EU483" s="21"/>
      <c r="EV483" s="21"/>
      <c r="EW483" s="21"/>
      <c r="EX483" s="21"/>
      <c r="EY483" s="21"/>
      <c r="EZ483" s="21"/>
      <c r="FA483" s="21"/>
      <c r="FB483" s="21"/>
      <c r="FC483" s="21"/>
      <c r="FD483" s="21"/>
      <c r="FE483" s="21"/>
      <c r="FF483" s="21"/>
      <c r="FG483" s="21"/>
      <c r="FH483" s="21"/>
      <c r="FI483" s="21"/>
      <c r="FJ483" s="21"/>
      <c r="FK483" s="21"/>
      <c r="FL483" s="21"/>
      <c r="FM483" s="21"/>
      <c r="FN483" s="21"/>
      <c r="FO483" s="21"/>
      <c r="FP483" s="21"/>
      <c r="FQ483" s="21"/>
      <c r="FR483" s="21"/>
      <c r="FS483" s="21"/>
      <c r="FT483" s="21"/>
      <c r="FU483" s="21"/>
      <c r="FV483" s="21"/>
      <c r="FW483" s="21"/>
      <c r="FX483" s="21"/>
      <c r="FY483" s="21"/>
      <c r="FZ483" s="21"/>
      <c r="GA483" s="21"/>
      <c r="GB483" s="21"/>
      <c r="GC483" s="21"/>
      <c r="GD483" s="21"/>
      <c r="GE483" s="21"/>
      <c r="GF483" s="21"/>
      <c r="GG483" s="21"/>
      <c r="GH483" s="21"/>
      <c r="GI483" s="21"/>
      <c r="GJ483" s="21"/>
      <c r="GK483" s="21"/>
      <c r="GL483" s="21"/>
      <c r="GM483" s="21"/>
      <c r="GN483" s="21"/>
      <c r="GO483" s="21"/>
      <c r="GP483" s="21"/>
      <c r="GQ483" s="21"/>
      <c r="GR483" s="21"/>
      <c r="GS483" s="21"/>
      <c r="GT483" s="21"/>
      <c r="GU483" s="21"/>
      <c r="GV483" s="21"/>
      <c r="GW483" s="21"/>
      <c r="GX483" s="21"/>
      <c r="GY483" s="21"/>
      <c r="GZ483" s="21"/>
      <c r="HA483" s="21"/>
      <c r="HB483" s="21"/>
      <c r="HC483" s="21"/>
      <c r="HD483" s="21"/>
      <c r="HE483" s="21"/>
      <c r="HF483" s="21"/>
      <c r="HG483" s="21"/>
      <c r="HH483" s="21"/>
      <c r="HI483" s="21"/>
      <c r="HJ483" s="21"/>
      <c r="HK483" s="21"/>
      <c r="HL483" s="21"/>
      <c r="HM483" s="21"/>
      <c r="HN483" s="21"/>
      <c r="HO483" s="21"/>
      <c r="HP483" s="21"/>
      <c r="HQ483" s="21"/>
      <c r="HR483" s="21"/>
      <c r="HS483" s="21"/>
      <c r="HT483" s="21"/>
      <c r="HU483" s="21"/>
      <c r="HV483" s="21"/>
      <c r="HW483" s="21"/>
      <c r="HX483" s="21"/>
      <c r="HY483" s="21"/>
      <c r="HZ483" s="21"/>
      <c r="IA483" s="21"/>
      <c r="IB483" s="21"/>
      <c r="IC483" s="21"/>
      <c r="ID483" s="21"/>
    </row>
    <row r="484" spans="1:238">
      <c r="A484" s="21"/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  <c r="DB484" s="21"/>
      <c r="DC484" s="21"/>
      <c r="DD484" s="21"/>
      <c r="DE484" s="21"/>
      <c r="DF484" s="21"/>
      <c r="DG484" s="21"/>
      <c r="DH484" s="21"/>
      <c r="DI484" s="21"/>
      <c r="DJ484" s="21"/>
      <c r="DK484" s="21"/>
      <c r="DL484" s="21"/>
      <c r="DM484" s="21"/>
      <c r="DN484" s="21"/>
      <c r="DO484" s="21"/>
      <c r="DP484" s="21"/>
      <c r="DQ484" s="21"/>
      <c r="DR484" s="21"/>
      <c r="DS484" s="21"/>
      <c r="DT484" s="21"/>
      <c r="DU484" s="21"/>
      <c r="DV484" s="21"/>
      <c r="DW484" s="21"/>
      <c r="DX484" s="21"/>
      <c r="DY484" s="21"/>
      <c r="DZ484" s="21"/>
      <c r="EA484" s="21"/>
      <c r="EB484" s="21"/>
      <c r="EC484" s="21"/>
      <c r="ED484" s="21"/>
      <c r="EE484" s="21"/>
      <c r="EF484" s="21"/>
      <c r="EG484" s="21"/>
      <c r="EH484" s="21"/>
      <c r="EI484" s="21"/>
      <c r="EJ484" s="21"/>
      <c r="EK484" s="21"/>
      <c r="EL484" s="21"/>
      <c r="EM484" s="21"/>
      <c r="EN484" s="21"/>
      <c r="EO484" s="21"/>
      <c r="EP484" s="21"/>
      <c r="EQ484" s="21"/>
      <c r="ER484" s="21"/>
      <c r="ES484" s="21"/>
      <c r="ET484" s="21"/>
      <c r="EU484" s="21"/>
      <c r="EV484" s="21"/>
      <c r="EW484" s="21"/>
      <c r="EX484" s="21"/>
      <c r="EY484" s="21"/>
      <c r="EZ484" s="21"/>
      <c r="FA484" s="21"/>
      <c r="FB484" s="21"/>
      <c r="FC484" s="21"/>
      <c r="FD484" s="21"/>
      <c r="FE484" s="21"/>
      <c r="FF484" s="21"/>
      <c r="FG484" s="21"/>
      <c r="FH484" s="21"/>
      <c r="FI484" s="21"/>
      <c r="FJ484" s="21"/>
      <c r="FK484" s="21"/>
      <c r="FL484" s="21"/>
      <c r="FM484" s="21"/>
      <c r="FN484" s="21"/>
      <c r="FO484" s="21"/>
      <c r="FP484" s="21"/>
      <c r="FQ484" s="21"/>
      <c r="FR484" s="21"/>
      <c r="FS484" s="21"/>
      <c r="FT484" s="21"/>
      <c r="FU484" s="21"/>
      <c r="FV484" s="21"/>
      <c r="FW484" s="21"/>
      <c r="FX484" s="21"/>
      <c r="FY484" s="21"/>
      <c r="FZ484" s="21"/>
      <c r="GA484" s="21"/>
      <c r="GB484" s="21"/>
      <c r="GC484" s="21"/>
      <c r="GD484" s="21"/>
      <c r="GE484" s="21"/>
      <c r="GF484" s="21"/>
      <c r="GG484" s="21"/>
      <c r="GH484" s="21"/>
      <c r="GI484" s="21"/>
      <c r="GJ484" s="21"/>
      <c r="GK484" s="21"/>
      <c r="GL484" s="21"/>
      <c r="GM484" s="21"/>
      <c r="GN484" s="21"/>
      <c r="GO484" s="21"/>
      <c r="GP484" s="21"/>
      <c r="GQ484" s="21"/>
      <c r="GR484" s="21"/>
      <c r="GS484" s="21"/>
      <c r="GT484" s="21"/>
      <c r="GU484" s="21"/>
      <c r="GV484" s="21"/>
      <c r="GW484" s="21"/>
      <c r="GX484" s="21"/>
      <c r="GY484" s="21"/>
      <c r="GZ484" s="21"/>
      <c r="HA484" s="21"/>
      <c r="HB484" s="21"/>
      <c r="HC484" s="21"/>
      <c r="HD484" s="21"/>
      <c r="HE484" s="21"/>
      <c r="HF484" s="21"/>
      <c r="HG484" s="21"/>
      <c r="HH484" s="21"/>
      <c r="HI484" s="21"/>
      <c r="HJ484" s="21"/>
      <c r="HK484" s="21"/>
      <c r="HL484" s="21"/>
      <c r="HM484" s="21"/>
      <c r="HN484" s="21"/>
      <c r="HO484" s="21"/>
      <c r="HP484" s="21"/>
      <c r="HQ484" s="21"/>
      <c r="HR484" s="21"/>
      <c r="HS484" s="21"/>
      <c r="HT484" s="21"/>
      <c r="HU484" s="21"/>
      <c r="HV484" s="21"/>
      <c r="HW484" s="21"/>
      <c r="HX484" s="21"/>
      <c r="HY484" s="21"/>
      <c r="HZ484" s="21"/>
      <c r="IA484" s="21"/>
      <c r="IB484" s="21"/>
      <c r="IC484" s="21"/>
      <c r="ID484" s="21"/>
    </row>
    <row r="485" spans="1:238">
      <c r="A485" s="21"/>
      <c r="B485" s="21"/>
      <c r="C485" s="21"/>
      <c r="D485" s="21"/>
      <c r="E485" s="21"/>
      <c r="F485" s="21"/>
      <c r="G485" s="21"/>
      <c r="I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  <c r="DB485" s="21"/>
      <c r="DC485" s="21"/>
      <c r="DD485" s="21"/>
      <c r="DE485" s="21"/>
      <c r="DF485" s="21"/>
      <c r="DG485" s="21"/>
      <c r="DH485" s="21"/>
      <c r="DI485" s="21"/>
      <c r="DJ485" s="21"/>
      <c r="DK485" s="21"/>
      <c r="DL485" s="21"/>
      <c r="DM485" s="21"/>
      <c r="DN485" s="21"/>
      <c r="DO485" s="21"/>
      <c r="DP485" s="21"/>
      <c r="DQ485" s="21"/>
      <c r="DR485" s="21"/>
      <c r="DS485" s="21"/>
      <c r="DT485" s="21"/>
      <c r="DU485" s="21"/>
      <c r="DV485" s="21"/>
      <c r="DW485" s="21"/>
      <c r="DX485" s="21"/>
      <c r="DY485" s="21"/>
      <c r="DZ485" s="21"/>
      <c r="EA485" s="21"/>
      <c r="EB485" s="21"/>
      <c r="EC485" s="21"/>
      <c r="ED485" s="21"/>
      <c r="EE485" s="21"/>
      <c r="EF485" s="21"/>
      <c r="EG485" s="21"/>
      <c r="EH485" s="21"/>
      <c r="EI485" s="21"/>
      <c r="EJ485" s="21"/>
      <c r="EK485" s="21"/>
      <c r="EL485" s="21"/>
      <c r="EM485" s="21"/>
      <c r="EN485" s="21"/>
      <c r="EO485" s="21"/>
      <c r="EP485" s="21"/>
      <c r="EQ485" s="21"/>
      <c r="ER485" s="21"/>
      <c r="ES485" s="21"/>
      <c r="ET485" s="21"/>
      <c r="EU485" s="21"/>
      <c r="EV485" s="21"/>
      <c r="EW485" s="21"/>
      <c r="EX485" s="21"/>
      <c r="EY485" s="21"/>
      <c r="EZ485" s="21"/>
      <c r="FA485" s="21"/>
      <c r="FB485" s="21"/>
      <c r="FC485" s="21"/>
      <c r="FD485" s="21"/>
      <c r="FE485" s="21"/>
      <c r="FF485" s="21"/>
      <c r="FG485" s="21"/>
      <c r="FH485" s="21"/>
      <c r="FI485" s="21"/>
      <c r="FJ485" s="21"/>
      <c r="FK485" s="21"/>
      <c r="FL485" s="21"/>
      <c r="FM485" s="21"/>
      <c r="FN485" s="21"/>
      <c r="FO485" s="21"/>
      <c r="FP485" s="21"/>
      <c r="FQ485" s="21"/>
      <c r="FR485" s="21"/>
      <c r="FS485" s="21"/>
      <c r="FT485" s="21"/>
      <c r="FU485" s="21"/>
      <c r="FV485" s="21"/>
      <c r="FW485" s="21"/>
      <c r="FX485" s="21"/>
      <c r="FY485" s="21"/>
      <c r="FZ485" s="21"/>
      <c r="GA485" s="21"/>
      <c r="GB485" s="21"/>
      <c r="GC485" s="21"/>
      <c r="GD485" s="21"/>
      <c r="GE485" s="21"/>
      <c r="GF485" s="21"/>
      <c r="GG485" s="21"/>
      <c r="GH485" s="21"/>
      <c r="GI485" s="21"/>
      <c r="GJ485" s="21"/>
      <c r="GK485" s="21"/>
      <c r="GL485" s="21"/>
      <c r="GM485" s="21"/>
      <c r="GN485" s="21"/>
      <c r="GO485" s="21"/>
      <c r="GP485" s="21"/>
      <c r="GQ485" s="21"/>
      <c r="GR485" s="21"/>
      <c r="GS485" s="21"/>
      <c r="GT485" s="21"/>
      <c r="GU485" s="21"/>
      <c r="GV485" s="21"/>
      <c r="GW485" s="21"/>
      <c r="GX485" s="21"/>
      <c r="GY485" s="21"/>
      <c r="GZ485" s="21"/>
      <c r="HA485" s="21"/>
      <c r="HB485" s="21"/>
      <c r="HC485" s="21"/>
      <c r="HD485" s="21"/>
      <c r="HE485" s="21"/>
      <c r="HF485" s="21"/>
      <c r="HG485" s="21"/>
      <c r="HH485" s="21"/>
      <c r="HI485" s="21"/>
      <c r="HJ485" s="21"/>
      <c r="HK485" s="21"/>
      <c r="HL485" s="21"/>
      <c r="HM485" s="21"/>
      <c r="HN485" s="21"/>
      <c r="HO485" s="21"/>
      <c r="HP485" s="21"/>
      <c r="HQ485" s="21"/>
      <c r="HR485" s="21"/>
      <c r="HS485" s="21"/>
      <c r="HT485" s="21"/>
      <c r="HU485" s="21"/>
      <c r="HV485" s="21"/>
      <c r="HW485" s="21"/>
      <c r="HX485" s="21"/>
      <c r="HY485" s="21"/>
      <c r="HZ485" s="21"/>
      <c r="IA485" s="21"/>
      <c r="IB485" s="21"/>
      <c r="IC485" s="21"/>
      <c r="ID485" s="21"/>
    </row>
  </sheetData>
  <phoneticPr fontId="9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C463"/>
  <sheetViews>
    <sheetView showGridLines="0" tabSelected="1" zoomScaleNormal="100" workbookViewId="0">
      <selection activeCell="A9" sqref="A9:F15"/>
    </sheetView>
  </sheetViews>
  <sheetFormatPr defaultRowHeight="13.2"/>
  <cols>
    <col min="1" max="1" width="14.33203125" style="69" customWidth="1"/>
    <col min="2" max="2" width="7.33203125" style="69" customWidth="1"/>
    <col min="3" max="3" width="11.5546875" style="69" customWidth="1"/>
    <col min="4" max="6" width="7.88671875" style="69" customWidth="1"/>
    <col min="7" max="7" width="10.6640625" style="69" customWidth="1"/>
    <col min="8" max="8" width="7.88671875" style="69" customWidth="1"/>
    <col min="9" max="9" width="10.33203125" style="69" customWidth="1"/>
    <col min="10" max="10" width="9.109375" style="67" customWidth="1"/>
  </cols>
  <sheetData>
    <row r="1" spans="1:10" ht="6.6" customHeight="1"/>
    <row r="2" spans="1:10" ht="12.6" customHeight="1">
      <c r="D2" s="150" t="s">
        <v>77</v>
      </c>
      <c r="E2" s="150"/>
      <c r="F2" s="150"/>
      <c r="G2" s="150"/>
      <c r="H2" s="150"/>
      <c r="I2" s="150"/>
      <c r="J2"/>
    </row>
    <row r="3" spans="1:10" ht="23.4" customHeight="1">
      <c r="A3" s="167" t="s">
        <v>78</v>
      </c>
      <c r="B3" s="167"/>
      <c r="C3" s="167"/>
      <c r="D3" s="167"/>
      <c r="E3" s="167"/>
      <c r="F3" s="167"/>
      <c r="G3" s="167"/>
      <c r="H3" s="167"/>
      <c r="I3" s="167"/>
      <c r="J3"/>
    </row>
    <row r="4" spans="1:10" ht="4.2" customHeight="1"/>
    <row r="5" spans="1:10">
      <c r="A5" s="70" t="s">
        <v>50</v>
      </c>
      <c r="B5" s="71"/>
      <c r="C5" s="72" t="s">
        <v>52</v>
      </c>
      <c r="D5" s="72" t="s">
        <v>53</v>
      </c>
      <c r="E5" s="73" t="s">
        <v>54</v>
      </c>
      <c r="F5" s="73"/>
      <c r="G5" s="73"/>
      <c r="H5" s="73"/>
      <c r="I5" s="71"/>
    </row>
    <row r="6" spans="1:10" ht="15.6" customHeight="1">
      <c r="A6" s="142" t="s">
        <v>96</v>
      </c>
      <c r="B6" s="85"/>
      <c r="C6" s="143">
        <v>45824</v>
      </c>
      <c r="D6" s="144">
        <v>0.58333333333333337</v>
      </c>
      <c r="E6" s="146" t="s">
        <v>97</v>
      </c>
      <c r="F6" s="147"/>
      <c r="G6" s="148"/>
      <c r="H6" s="148"/>
      <c r="I6" s="149"/>
    </row>
    <row r="7" spans="1:10">
      <c r="A7" s="70" t="s">
        <v>51</v>
      </c>
      <c r="B7" s="73"/>
      <c r="C7" s="72" t="s">
        <v>52</v>
      </c>
      <c r="D7" s="72" t="s">
        <v>53</v>
      </c>
      <c r="E7" s="171" t="s">
        <v>66</v>
      </c>
      <c r="F7" s="172"/>
      <c r="G7" s="172"/>
      <c r="H7" s="172"/>
      <c r="I7" s="173"/>
    </row>
    <row r="8" spans="1:10" ht="19.8" customHeight="1">
      <c r="A8" s="142" t="s">
        <v>96</v>
      </c>
      <c r="B8" s="82"/>
      <c r="C8" s="143">
        <v>45826</v>
      </c>
      <c r="D8" s="144">
        <v>0.75</v>
      </c>
      <c r="E8" s="124"/>
      <c r="F8" s="145">
        <f>Number_Day(C6,D6,C8,D8)</f>
        <v>2</v>
      </c>
      <c r="G8" s="74"/>
      <c r="H8" s="74"/>
      <c r="I8" s="75"/>
    </row>
    <row r="9" spans="1:10" ht="27" customHeight="1">
      <c r="A9" s="152" t="s">
        <v>55</v>
      </c>
      <c r="B9" s="153"/>
      <c r="C9" s="153"/>
      <c r="D9" s="153"/>
      <c r="E9" s="153"/>
      <c r="F9" s="154"/>
      <c r="G9" s="140" t="s">
        <v>94</v>
      </c>
      <c r="H9" s="118" t="s">
        <v>64</v>
      </c>
      <c r="I9" s="141" t="s">
        <v>65</v>
      </c>
    </row>
    <row r="10" spans="1:10" ht="6" customHeight="1">
      <c r="A10" s="155"/>
      <c r="B10" s="156"/>
      <c r="C10" s="156"/>
      <c r="D10" s="156"/>
      <c r="E10" s="156"/>
      <c r="F10" s="157"/>
      <c r="G10" s="119"/>
      <c r="H10" s="119"/>
      <c r="I10" s="119"/>
    </row>
    <row r="11" spans="1:10" ht="12.6" customHeight="1">
      <c r="A11" s="155"/>
      <c r="B11" s="156"/>
      <c r="C11" s="156"/>
      <c r="D11" s="156"/>
      <c r="E11" s="156"/>
      <c r="F11" s="157"/>
      <c r="G11" s="122">
        <v>2000</v>
      </c>
      <c r="H11" s="120">
        <f>F8*G11</f>
        <v>4000</v>
      </c>
      <c r="I11" s="121">
        <f>H11-G18</f>
        <v>4000</v>
      </c>
    </row>
    <row r="12" spans="1:10" ht="7.2" customHeight="1">
      <c r="A12" s="155"/>
      <c r="B12" s="156"/>
      <c r="C12" s="156"/>
      <c r="D12" s="156"/>
      <c r="E12" s="156"/>
      <c r="F12" s="157"/>
      <c r="G12" s="86"/>
      <c r="H12" s="77"/>
      <c r="I12" s="79"/>
    </row>
    <row r="13" spans="1:10" ht="5.4" customHeight="1">
      <c r="A13" s="155"/>
      <c r="B13" s="156"/>
      <c r="C13" s="156"/>
      <c r="D13" s="156"/>
      <c r="E13" s="156"/>
      <c r="F13" s="157"/>
      <c r="G13" s="92"/>
      <c r="H13" s="74"/>
      <c r="I13" s="87"/>
      <c r="J13" s="88"/>
    </row>
    <row r="14" spans="1:10" ht="8.4" customHeight="1">
      <c r="A14" s="155"/>
      <c r="B14" s="156"/>
      <c r="C14" s="156"/>
      <c r="D14" s="156"/>
      <c r="E14" s="156"/>
      <c r="F14" s="157"/>
      <c r="G14" s="86"/>
      <c r="H14" s="77"/>
      <c r="I14" s="79"/>
    </row>
    <row r="15" spans="1:10" ht="6" customHeight="1">
      <c r="A15" s="158"/>
      <c r="B15" s="159"/>
      <c r="C15" s="159"/>
      <c r="D15" s="159"/>
      <c r="E15" s="159"/>
      <c r="F15" s="160"/>
      <c r="G15" s="92"/>
      <c r="H15" s="74"/>
      <c r="I15" s="87"/>
    </row>
    <row r="16" spans="1:10" ht="12.6" customHeight="1">
      <c r="A16" s="81" t="s">
        <v>69</v>
      </c>
      <c r="B16" s="76"/>
      <c r="C16" s="76"/>
      <c r="D16" s="76"/>
      <c r="E16" s="76"/>
      <c r="F16" s="76"/>
      <c r="G16" s="76"/>
      <c r="H16" s="77"/>
      <c r="I16" s="98"/>
    </row>
    <row r="17" spans="1:57" ht="12.6" customHeight="1" thickBot="1">
      <c r="A17" s="135" t="s">
        <v>70</v>
      </c>
      <c r="B17" s="137" t="s">
        <v>73</v>
      </c>
      <c r="C17" s="136" t="s">
        <v>71</v>
      </c>
      <c r="D17" s="137" t="s">
        <v>73</v>
      </c>
      <c r="E17" s="136" t="s">
        <v>72</v>
      </c>
      <c r="F17" s="137" t="s">
        <v>73</v>
      </c>
      <c r="G17" s="138" t="s">
        <v>74</v>
      </c>
      <c r="H17" s="77"/>
      <c r="I17" s="98"/>
    </row>
    <row r="18" spans="1:57" ht="12.6" customHeight="1" thickBot="1">
      <c r="A18" s="84">
        <v>0</v>
      </c>
      <c r="B18" s="90">
        <f>0.15*G11*A18</f>
        <v>0</v>
      </c>
      <c r="C18" s="83">
        <v>0</v>
      </c>
      <c r="D18" s="90">
        <f>0.3*G11*C18</f>
        <v>0</v>
      </c>
      <c r="E18" s="83">
        <v>0</v>
      </c>
      <c r="F18" s="91">
        <f>0.3*G11*E18</f>
        <v>0</v>
      </c>
      <c r="G18" s="139">
        <f>SUM(B18+D18+F18)</f>
        <v>0</v>
      </c>
      <c r="H18" s="77"/>
      <c r="I18" s="98"/>
    </row>
    <row r="19" spans="1:57" s="97" customFormat="1" ht="15" customHeight="1" thickBot="1">
      <c r="A19" s="93">
        <v>0.15</v>
      </c>
      <c r="B19" s="95"/>
      <c r="C19" s="99">
        <v>0.3</v>
      </c>
      <c r="D19" s="95"/>
      <c r="E19" s="99">
        <v>0.3</v>
      </c>
      <c r="F19" s="95"/>
      <c r="G19" s="95"/>
      <c r="H19" s="94"/>
      <c r="I19" s="78"/>
      <c r="J19" s="96"/>
    </row>
    <row r="20" spans="1:57" s="89" customFormat="1" ht="15.75" customHeight="1" thickBot="1">
      <c r="A20" s="168" t="s">
        <v>75</v>
      </c>
      <c r="B20" s="169"/>
      <c r="C20" s="169"/>
      <c r="D20" s="169"/>
      <c r="E20" s="169"/>
      <c r="F20" s="169"/>
      <c r="G20" s="169"/>
      <c r="H20" s="170"/>
      <c r="I20" s="100">
        <f>I11+I13+I15</f>
        <v>4000</v>
      </c>
    </row>
    <row r="21" spans="1:57" ht="22.5" customHeight="1">
      <c r="A21" s="161" t="s">
        <v>67</v>
      </c>
      <c r="B21" s="162"/>
      <c r="C21" s="162"/>
      <c r="D21" s="162"/>
      <c r="E21" s="162"/>
      <c r="F21" s="162"/>
      <c r="G21" s="162"/>
      <c r="H21" s="163"/>
      <c r="I21" s="116">
        <f>C8-C6+1</f>
        <v>3</v>
      </c>
    </row>
    <row r="22" spans="1:57" ht="21.75" customHeight="1">
      <c r="A22" s="164" t="s">
        <v>68</v>
      </c>
      <c r="B22" s="165"/>
      <c r="C22" s="165"/>
      <c r="D22" s="165"/>
      <c r="E22" s="165"/>
      <c r="F22" s="165"/>
      <c r="G22" s="165"/>
      <c r="H22" s="166"/>
      <c r="I22" s="117">
        <f>I20/I21</f>
        <v>1333.3333333333333</v>
      </c>
    </row>
    <row r="23" spans="1:57" s="107" customFormat="1" ht="16.8" customHeight="1">
      <c r="A23" s="101" t="s">
        <v>52</v>
      </c>
      <c r="B23" s="102"/>
      <c r="C23" s="102"/>
      <c r="D23" s="103"/>
      <c r="E23" s="104" t="s">
        <v>56</v>
      </c>
      <c r="F23" s="104"/>
      <c r="G23" s="104"/>
      <c r="H23" s="104"/>
      <c r="I23" s="105"/>
      <c r="J23" s="106"/>
    </row>
    <row r="24" spans="1:57" s="107" customFormat="1" ht="15.6" customHeight="1">
      <c r="A24" s="108">
        <v>45736</v>
      </c>
      <c r="B24" s="109"/>
      <c r="C24" s="110"/>
      <c r="D24" s="111"/>
      <c r="E24" s="112"/>
      <c r="F24" s="112" t="s">
        <v>96</v>
      </c>
      <c r="G24" s="112"/>
      <c r="H24" s="112"/>
      <c r="I24" s="113"/>
      <c r="J24" s="106"/>
    </row>
    <row r="25" spans="1:57" s="107" customFormat="1" ht="16.8" customHeight="1">
      <c r="A25" s="101" t="s">
        <v>57</v>
      </c>
      <c r="B25" s="104"/>
      <c r="C25" s="104"/>
      <c r="D25" s="105"/>
      <c r="E25" s="104" t="s">
        <v>58</v>
      </c>
      <c r="F25" s="104"/>
      <c r="G25" s="104"/>
      <c r="H25" s="104"/>
      <c r="I25" s="105"/>
      <c r="J25" s="106"/>
    </row>
    <row r="26" spans="1:57" s="107" customFormat="1" ht="16.8" customHeight="1">
      <c r="A26" s="123" t="s">
        <v>95</v>
      </c>
      <c r="B26" s="112"/>
      <c r="C26" s="112"/>
      <c r="D26" s="113" t="s">
        <v>49</v>
      </c>
      <c r="E26" s="114"/>
      <c r="F26" s="114"/>
      <c r="G26" s="114"/>
      <c r="H26" s="114"/>
      <c r="I26" s="115"/>
      <c r="J26" s="106"/>
    </row>
    <row r="27" spans="1:57" ht="2.4" customHeight="1">
      <c r="A27" s="77"/>
      <c r="I27" s="77"/>
    </row>
    <row r="28" spans="1:57" ht="14.25" customHeight="1">
      <c r="A28" s="151" t="s">
        <v>76</v>
      </c>
      <c r="B28" s="151"/>
      <c r="C28" s="151"/>
      <c r="D28" s="80"/>
      <c r="E28" s="80"/>
      <c r="F28" s="80"/>
      <c r="G28" s="80"/>
      <c r="H28" s="80"/>
      <c r="I28" s="80"/>
      <c r="J28" s="68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</row>
    <row r="29" spans="1:57" s="134" customFormat="1" ht="12" customHeight="1">
      <c r="A29" s="129" t="s">
        <v>59</v>
      </c>
      <c r="B29" s="129"/>
      <c r="C29" s="129"/>
      <c r="D29" s="130">
        <v>1</v>
      </c>
      <c r="E29" s="129" t="s">
        <v>61</v>
      </c>
      <c r="F29" s="129"/>
      <c r="G29" s="129"/>
      <c r="H29" s="131">
        <v>1</v>
      </c>
      <c r="I29" s="132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</row>
    <row r="30" spans="1:57" s="134" customFormat="1" ht="12" customHeight="1">
      <c r="A30" s="129" t="s">
        <v>60</v>
      </c>
      <c r="B30" s="129"/>
      <c r="C30" s="129"/>
      <c r="D30" s="130">
        <v>0.5</v>
      </c>
      <c r="E30" s="129" t="s">
        <v>62</v>
      </c>
      <c r="F30" s="129"/>
      <c r="G30" s="129"/>
      <c r="H30" s="131">
        <v>0.5</v>
      </c>
      <c r="I30" s="132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</row>
    <row r="31" spans="1:57" s="134" customFormat="1" ht="12" customHeight="1">
      <c r="A31" s="129" t="s">
        <v>79</v>
      </c>
      <c r="B31" s="129"/>
      <c r="C31" s="129"/>
      <c r="D31" s="130">
        <v>0.4</v>
      </c>
      <c r="E31" s="129" t="s">
        <v>63</v>
      </c>
      <c r="F31" s="129"/>
      <c r="G31" s="129"/>
      <c r="H31" s="131">
        <v>0.4</v>
      </c>
      <c r="I31" s="132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</row>
    <row r="32" spans="1:57">
      <c r="A32" s="77"/>
      <c r="B32" s="77"/>
      <c r="C32" s="77"/>
      <c r="D32" s="77"/>
      <c r="E32" s="77"/>
      <c r="F32" s="77"/>
      <c r="G32" s="77"/>
      <c r="I32" s="77"/>
      <c r="J32" s="68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</row>
    <row r="33" spans="1:237">
      <c r="A33" s="77"/>
      <c r="B33" s="77"/>
      <c r="C33" s="77"/>
      <c r="D33" s="77"/>
      <c r="E33" s="77"/>
      <c r="F33" s="77"/>
      <c r="G33" s="77"/>
      <c r="I33" s="77"/>
      <c r="J33" s="68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</row>
    <row r="34" spans="1:237">
      <c r="A34" s="77"/>
      <c r="B34" s="77"/>
      <c r="C34" s="77"/>
      <c r="D34" s="77"/>
      <c r="E34" s="77"/>
      <c r="F34" s="77"/>
      <c r="G34" s="77"/>
      <c r="I34" s="77"/>
      <c r="J34" s="68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</row>
    <row r="35" spans="1:237">
      <c r="A35" s="77"/>
      <c r="B35" s="77"/>
      <c r="C35" s="77"/>
      <c r="D35" s="77"/>
      <c r="E35" s="77"/>
      <c r="F35" s="77"/>
      <c r="G35" s="77"/>
      <c r="I35" s="77"/>
      <c r="J35" s="68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</row>
    <row r="36" spans="1:237">
      <c r="A36" s="77"/>
      <c r="B36" s="77"/>
      <c r="C36" s="77"/>
      <c r="D36" s="77"/>
      <c r="E36" s="77"/>
      <c r="F36" s="77"/>
      <c r="G36" s="77"/>
      <c r="I36" s="77"/>
      <c r="J36" s="68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</row>
    <row r="37" spans="1:237">
      <c r="A37" s="77"/>
      <c r="B37" s="77"/>
      <c r="C37" s="77"/>
      <c r="D37" s="77"/>
      <c r="E37" s="77"/>
      <c r="F37" s="77"/>
      <c r="G37" s="77"/>
      <c r="I37" s="77"/>
      <c r="J37" s="68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</row>
    <row r="38" spans="1:237">
      <c r="A38" s="77"/>
      <c r="B38" s="77"/>
      <c r="C38" s="77"/>
      <c r="D38" s="77"/>
      <c r="E38" s="77"/>
      <c r="F38" s="77"/>
      <c r="G38" s="77"/>
      <c r="I38" s="77"/>
      <c r="J38" s="68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</row>
    <row r="39" spans="1:237">
      <c r="A39" s="77"/>
      <c r="B39" s="77"/>
      <c r="C39" s="77"/>
      <c r="D39" s="77"/>
      <c r="E39" s="77"/>
      <c r="F39" s="77"/>
      <c r="G39" s="77"/>
      <c r="I39" s="77"/>
      <c r="J39" s="68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</row>
    <row r="40" spans="1:237">
      <c r="A40" s="77"/>
      <c r="B40" s="77"/>
      <c r="C40" s="77"/>
      <c r="D40" s="77"/>
      <c r="E40" s="77"/>
      <c r="F40" s="77"/>
      <c r="G40" s="77"/>
      <c r="I40" s="77"/>
      <c r="J40" s="68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</row>
    <row r="41" spans="1:237">
      <c r="A41" s="77"/>
      <c r="B41" s="77"/>
      <c r="C41" s="77"/>
      <c r="D41" s="77"/>
      <c r="E41" s="77"/>
      <c r="F41" s="77"/>
      <c r="G41" s="77"/>
      <c r="I41" s="77"/>
      <c r="J41" s="68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</row>
    <row r="42" spans="1:237">
      <c r="A42" s="77"/>
      <c r="B42" s="77"/>
      <c r="C42" s="77"/>
      <c r="D42" s="77"/>
      <c r="E42" s="77"/>
      <c r="F42" s="77"/>
      <c r="G42" s="77"/>
      <c r="I42" s="77"/>
      <c r="J42" s="68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</row>
    <row r="43" spans="1:237">
      <c r="A43" s="77"/>
      <c r="B43" s="77"/>
      <c r="C43" s="77"/>
      <c r="D43" s="77"/>
      <c r="E43" s="77"/>
      <c r="F43" s="77"/>
      <c r="G43" s="77"/>
      <c r="I43" s="77"/>
      <c r="J43" s="68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</row>
    <row r="44" spans="1:237">
      <c r="A44" s="77"/>
      <c r="B44" s="77"/>
      <c r="C44" s="77"/>
      <c r="D44" s="77"/>
      <c r="E44" s="77"/>
      <c r="F44" s="77"/>
      <c r="G44" s="77"/>
      <c r="H44" s="77"/>
      <c r="I44" s="77"/>
      <c r="J44" s="68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</row>
    <row r="45" spans="1:237">
      <c r="A45" s="77"/>
      <c r="B45" s="77"/>
      <c r="C45" s="77"/>
      <c r="D45" s="77"/>
      <c r="E45" s="77"/>
      <c r="F45" s="77"/>
      <c r="G45" s="77"/>
      <c r="H45" s="77"/>
      <c r="I45" s="77"/>
      <c r="J45" s="68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</row>
    <row r="46" spans="1:237">
      <c r="A46" s="77"/>
      <c r="B46" s="77"/>
      <c r="C46" s="77"/>
      <c r="D46" s="77"/>
      <c r="E46" s="77"/>
      <c r="F46" s="77"/>
      <c r="G46" s="77"/>
      <c r="H46" s="77"/>
      <c r="I46" s="77"/>
      <c r="J46" s="68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</row>
    <row r="47" spans="1:237">
      <c r="A47" s="77"/>
      <c r="B47" s="77"/>
      <c r="C47" s="77"/>
      <c r="D47" s="77"/>
      <c r="E47" s="77"/>
      <c r="F47" s="77"/>
      <c r="G47" s="77"/>
      <c r="H47" s="77"/>
      <c r="I47" s="77"/>
      <c r="J47" s="68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</row>
    <row r="48" spans="1:237">
      <c r="A48" s="77"/>
      <c r="B48" s="77"/>
      <c r="C48" s="77"/>
      <c r="D48" s="77"/>
      <c r="E48" s="77"/>
      <c r="F48" s="77"/>
      <c r="G48" s="77"/>
      <c r="H48" s="77"/>
      <c r="I48" s="77"/>
      <c r="J48" s="68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</row>
    <row r="49" spans="1:237">
      <c r="A49" s="77"/>
      <c r="B49" s="77"/>
      <c r="C49" s="77"/>
      <c r="D49" s="77"/>
      <c r="E49" s="77"/>
      <c r="F49" s="77"/>
      <c r="G49" s="77"/>
      <c r="H49" s="77"/>
      <c r="I49" s="77"/>
      <c r="J49" s="68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</row>
    <row r="50" spans="1:237">
      <c r="A50" s="77"/>
      <c r="B50" s="77"/>
      <c r="C50" s="77"/>
      <c r="D50" s="77"/>
      <c r="E50" s="77"/>
      <c r="F50" s="77"/>
      <c r="G50" s="77"/>
      <c r="H50" s="77"/>
      <c r="I50" s="77"/>
      <c r="J50" s="68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</row>
    <row r="51" spans="1:237">
      <c r="A51" s="77"/>
      <c r="B51" s="77"/>
      <c r="C51" s="77"/>
      <c r="D51" s="77"/>
      <c r="E51" s="77"/>
      <c r="F51" s="77"/>
      <c r="G51" s="77"/>
      <c r="H51" s="77"/>
      <c r="I51" s="77"/>
      <c r="J51" s="68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</row>
    <row r="52" spans="1:237">
      <c r="A52" s="77"/>
      <c r="B52" s="77"/>
      <c r="C52" s="77"/>
      <c r="D52" s="77"/>
      <c r="E52" s="77"/>
      <c r="F52" s="77"/>
      <c r="G52" s="77"/>
      <c r="H52" s="77"/>
      <c r="I52" s="77"/>
      <c r="J52" s="68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</row>
    <row r="53" spans="1:237">
      <c r="A53" s="77"/>
      <c r="B53" s="77"/>
      <c r="C53" s="77"/>
      <c r="D53" s="77"/>
      <c r="E53" s="77"/>
      <c r="F53" s="77"/>
      <c r="G53" s="77"/>
      <c r="H53" s="77"/>
      <c r="I53" s="77"/>
      <c r="J53" s="68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</row>
    <row r="54" spans="1:237">
      <c r="A54" s="77"/>
      <c r="B54" s="77"/>
      <c r="C54" s="77"/>
      <c r="D54" s="77"/>
      <c r="E54" s="77"/>
      <c r="F54" s="77"/>
      <c r="G54" s="77"/>
      <c r="H54" s="77"/>
      <c r="I54" s="77"/>
      <c r="J54" s="68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</row>
    <row r="55" spans="1:237">
      <c r="A55" s="77"/>
      <c r="B55" s="77"/>
      <c r="C55" s="77"/>
      <c r="D55" s="77"/>
      <c r="E55" s="77"/>
      <c r="F55" s="77"/>
      <c r="G55" s="77"/>
      <c r="H55" s="77"/>
      <c r="I55" s="77"/>
      <c r="J55" s="68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</row>
    <row r="56" spans="1:237">
      <c r="A56" s="77"/>
      <c r="B56" s="77"/>
      <c r="C56" s="77"/>
      <c r="D56" s="77"/>
      <c r="E56" s="77"/>
      <c r="F56" s="77"/>
      <c r="G56" s="77"/>
      <c r="H56" s="77"/>
      <c r="I56" s="77"/>
      <c r="J56" s="68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</row>
    <row r="57" spans="1:237">
      <c r="A57" s="77"/>
      <c r="B57" s="77"/>
      <c r="C57" s="77"/>
      <c r="D57" s="77"/>
      <c r="E57" s="77"/>
      <c r="F57" s="77"/>
      <c r="G57" s="77"/>
      <c r="H57" s="77"/>
      <c r="I57" s="77"/>
      <c r="J57" s="68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</row>
    <row r="58" spans="1:237">
      <c r="A58" s="77"/>
      <c r="B58" s="77"/>
      <c r="C58" s="77"/>
      <c r="D58" s="77"/>
      <c r="E58" s="77"/>
      <c r="F58" s="77"/>
      <c r="G58" s="77"/>
      <c r="H58" s="77"/>
      <c r="I58" s="77"/>
      <c r="J58" s="68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</row>
    <row r="59" spans="1:237">
      <c r="A59" s="77"/>
      <c r="B59" s="77"/>
      <c r="C59" s="77"/>
      <c r="D59" s="77"/>
      <c r="E59" s="77"/>
      <c r="F59" s="77"/>
      <c r="G59" s="77"/>
      <c r="H59" s="77"/>
      <c r="I59" s="77"/>
      <c r="J59" s="68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</row>
    <row r="60" spans="1:237">
      <c r="A60" s="77"/>
      <c r="B60" s="77"/>
      <c r="C60" s="77"/>
      <c r="D60" s="77"/>
      <c r="E60" s="77"/>
      <c r="F60" s="77"/>
      <c r="G60" s="77"/>
      <c r="H60" s="77"/>
      <c r="I60" s="77"/>
      <c r="J60" s="68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</row>
    <row r="61" spans="1:237">
      <c r="A61" s="77"/>
      <c r="B61" s="77"/>
      <c r="C61" s="77"/>
      <c r="D61" s="77"/>
      <c r="E61" s="77"/>
      <c r="F61" s="77"/>
      <c r="G61" s="77"/>
      <c r="H61" s="77"/>
      <c r="I61" s="77"/>
      <c r="J61" s="68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</row>
    <row r="62" spans="1:237">
      <c r="A62" s="77"/>
      <c r="B62" s="77"/>
      <c r="C62" s="77"/>
      <c r="D62" s="77"/>
      <c r="E62" s="77"/>
      <c r="F62" s="77"/>
      <c r="G62" s="77"/>
      <c r="H62" s="77"/>
      <c r="I62" s="77"/>
      <c r="J62" s="68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</row>
    <row r="63" spans="1:237">
      <c r="A63" s="77"/>
      <c r="B63" s="77"/>
      <c r="C63" s="77"/>
      <c r="D63" s="77"/>
      <c r="E63" s="77"/>
      <c r="F63" s="77"/>
      <c r="G63" s="77"/>
      <c r="H63" s="77"/>
      <c r="I63" s="77"/>
      <c r="J63" s="68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</row>
    <row r="64" spans="1:237">
      <c r="A64" s="77"/>
      <c r="B64" s="77"/>
      <c r="C64" s="77"/>
      <c r="D64" s="77"/>
      <c r="E64" s="77"/>
      <c r="F64" s="77"/>
      <c r="G64" s="77"/>
      <c r="H64" s="77"/>
      <c r="I64" s="77"/>
      <c r="J64" s="68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</row>
    <row r="65" spans="1:237">
      <c r="A65" s="77"/>
      <c r="B65" s="77"/>
      <c r="C65" s="77"/>
      <c r="D65" s="77"/>
      <c r="E65" s="77"/>
      <c r="F65" s="77"/>
      <c r="G65" s="77"/>
      <c r="H65" s="77"/>
      <c r="I65" s="77"/>
      <c r="J65" s="68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</row>
    <row r="66" spans="1:237">
      <c r="A66" s="77"/>
      <c r="B66" s="77"/>
      <c r="C66" s="77"/>
      <c r="D66" s="77"/>
      <c r="E66" s="77"/>
      <c r="F66" s="77"/>
      <c r="G66" s="77"/>
      <c r="H66" s="77"/>
      <c r="I66" s="77"/>
      <c r="J66" s="68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</row>
    <row r="67" spans="1:237">
      <c r="A67" s="77"/>
      <c r="B67" s="77"/>
      <c r="C67" s="77"/>
      <c r="D67" s="77"/>
      <c r="E67" s="77"/>
      <c r="F67" s="77"/>
      <c r="G67" s="77"/>
      <c r="H67" s="77"/>
      <c r="I67" s="77"/>
      <c r="J67" s="68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</row>
    <row r="68" spans="1:237">
      <c r="A68" s="77"/>
      <c r="B68" s="77"/>
      <c r="C68" s="77"/>
      <c r="D68" s="77"/>
      <c r="E68" s="77"/>
      <c r="F68" s="77"/>
      <c r="G68" s="77"/>
      <c r="H68" s="77"/>
      <c r="I68" s="77"/>
      <c r="J68" s="68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</row>
    <row r="69" spans="1:237">
      <c r="A69" s="77"/>
      <c r="B69" s="77"/>
      <c r="C69" s="77"/>
      <c r="D69" s="77"/>
      <c r="E69" s="77"/>
      <c r="F69" s="77"/>
      <c r="G69" s="77"/>
      <c r="H69" s="77"/>
      <c r="I69" s="77"/>
      <c r="J69" s="68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</row>
    <row r="70" spans="1:237">
      <c r="A70" s="77"/>
      <c r="B70" s="77"/>
      <c r="C70" s="77"/>
      <c r="D70" s="77"/>
      <c r="E70" s="77"/>
      <c r="F70" s="77"/>
      <c r="G70" s="77"/>
      <c r="H70" s="77"/>
      <c r="I70" s="77"/>
      <c r="J70" s="68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</row>
    <row r="71" spans="1:237">
      <c r="A71" s="77"/>
      <c r="B71" s="77"/>
      <c r="C71" s="77"/>
      <c r="D71" s="77"/>
      <c r="E71" s="77"/>
      <c r="F71" s="77"/>
      <c r="G71" s="77"/>
      <c r="H71" s="77"/>
      <c r="I71" s="77"/>
      <c r="J71" s="68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</row>
    <row r="72" spans="1:237">
      <c r="A72" s="77"/>
      <c r="B72" s="77"/>
      <c r="C72" s="77"/>
      <c r="D72" s="77"/>
      <c r="E72" s="77"/>
      <c r="F72" s="77"/>
      <c r="G72" s="77"/>
      <c r="H72" s="77"/>
      <c r="I72" s="77"/>
      <c r="J72" s="68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</row>
    <row r="73" spans="1:237">
      <c r="A73" s="77"/>
      <c r="B73" s="77"/>
      <c r="C73" s="77"/>
      <c r="D73" s="77"/>
      <c r="E73" s="77"/>
      <c r="F73" s="77"/>
      <c r="G73" s="77"/>
      <c r="H73" s="77"/>
      <c r="I73" s="77"/>
      <c r="J73" s="68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</row>
    <row r="74" spans="1:237">
      <c r="A74" s="77"/>
      <c r="B74" s="77"/>
      <c r="C74" s="77"/>
      <c r="D74" s="77"/>
      <c r="E74" s="77"/>
      <c r="F74" s="77"/>
      <c r="G74" s="77"/>
      <c r="H74" s="77"/>
      <c r="I74" s="77"/>
      <c r="J74" s="68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</row>
    <row r="75" spans="1:237">
      <c r="A75" s="77"/>
      <c r="B75" s="77"/>
      <c r="C75" s="77"/>
      <c r="D75" s="77"/>
      <c r="E75" s="77"/>
      <c r="F75" s="77"/>
      <c r="G75" s="77"/>
      <c r="H75" s="77"/>
      <c r="I75" s="77"/>
      <c r="J75" s="68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</row>
    <row r="76" spans="1:237">
      <c r="A76" s="77"/>
      <c r="B76" s="77"/>
      <c r="C76" s="77"/>
      <c r="D76" s="77"/>
      <c r="E76" s="77"/>
      <c r="F76" s="77"/>
      <c r="G76" s="77"/>
      <c r="H76" s="77"/>
      <c r="I76" s="77"/>
      <c r="J76" s="68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</row>
    <row r="77" spans="1:237">
      <c r="A77" s="77"/>
      <c r="B77" s="77"/>
      <c r="C77" s="77"/>
      <c r="D77" s="77"/>
      <c r="E77" s="77"/>
      <c r="F77" s="77"/>
      <c r="G77" s="77"/>
      <c r="H77" s="77"/>
      <c r="I77" s="77"/>
      <c r="J77" s="68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</row>
    <row r="78" spans="1:237">
      <c r="A78" s="77"/>
      <c r="B78" s="77"/>
      <c r="C78" s="77"/>
      <c r="D78" s="77"/>
      <c r="E78" s="77"/>
      <c r="F78" s="77"/>
      <c r="G78" s="77"/>
      <c r="H78" s="77"/>
      <c r="I78" s="77"/>
      <c r="J78" s="68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</row>
    <row r="79" spans="1:237">
      <c r="A79" s="77"/>
      <c r="B79" s="77"/>
      <c r="C79" s="77"/>
      <c r="D79" s="77"/>
      <c r="E79" s="77"/>
      <c r="F79" s="77"/>
      <c r="G79" s="77"/>
      <c r="H79" s="77"/>
      <c r="I79" s="77"/>
      <c r="J79" s="68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</row>
    <row r="80" spans="1:237">
      <c r="A80" s="77"/>
      <c r="B80" s="77"/>
      <c r="C80" s="77"/>
      <c r="D80" s="77"/>
      <c r="E80" s="77"/>
      <c r="F80" s="77"/>
      <c r="G80" s="77"/>
      <c r="H80" s="77"/>
      <c r="I80" s="77"/>
      <c r="J80" s="68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</row>
    <row r="81" spans="1:237">
      <c r="A81" s="77"/>
      <c r="B81" s="77"/>
      <c r="C81" s="77"/>
      <c r="D81" s="77"/>
      <c r="E81" s="77"/>
      <c r="F81" s="77"/>
      <c r="G81" s="77"/>
      <c r="H81" s="77"/>
      <c r="I81" s="77"/>
      <c r="J81" s="68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</row>
    <row r="82" spans="1:237">
      <c r="A82" s="77"/>
      <c r="B82" s="77"/>
      <c r="C82" s="77"/>
      <c r="D82" s="77"/>
      <c r="E82" s="77"/>
      <c r="F82" s="77"/>
      <c r="G82" s="77"/>
      <c r="H82" s="77"/>
      <c r="I82" s="77"/>
      <c r="J82" s="68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</row>
    <row r="83" spans="1:237">
      <c r="A83" s="77"/>
      <c r="B83" s="77"/>
      <c r="C83" s="77"/>
      <c r="D83" s="77"/>
      <c r="E83" s="77"/>
      <c r="F83" s="77"/>
      <c r="G83" s="77"/>
      <c r="H83" s="77"/>
      <c r="I83" s="77"/>
      <c r="J83" s="68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</row>
    <row r="84" spans="1:237">
      <c r="A84" s="77"/>
      <c r="B84" s="77"/>
      <c r="C84" s="77"/>
      <c r="D84" s="77"/>
      <c r="E84" s="77"/>
      <c r="F84" s="77"/>
      <c r="G84" s="77"/>
      <c r="H84" s="77"/>
      <c r="I84" s="77"/>
      <c r="J84" s="68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</row>
    <row r="85" spans="1:237">
      <c r="A85" s="77"/>
      <c r="B85" s="77"/>
      <c r="C85" s="77"/>
      <c r="D85" s="77"/>
      <c r="E85" s="77"/>
      <c r="F85" s="77"/>
      <c r="G85" s="77"/>
      <c r="H85" s="77"/>
      <c r="I85" s="77"/>
      <c r="J85" s="68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</row>
    <row r="86" spans="1:237">
      <c r="A86" s="77"/>
      <c r="B86" s="77"/>
      <c r="C86" s="77"/>
      <c r="D86" s="77"/>
      <c r="E86" s="77"/>
      <c r="F86" s="77"/>
      <c r="G86" s="77"/>
      <c r="H86" s="77"/>
      <c r="I86" s="77"/>
      <c r="J86" s="68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</row>
    <row r="87" spans="1:237">
      <c r="A87" s="77"/>
      <c r="B87" s="77"/>
      <c r="C87" s="77"/>
      <c r="D87" s="77"/>
      <c r="E87" s="77"/>
      <c r="F87" s="77"/>
      <c r="G87" s="77"/>
      <c r="H87" s="77"/>
      <c r="I87" s="77"/>
      <c r="J87" s="68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</row>
    <row r="88" spans="1:237">
      <c r="A88" s="77"/>
      <c r="B88" s="77"/>
      <c r="C88" s="77"/>
      <c r="D88" s="77"/>
      <c r="E88" s="77"/>
      <c r="F88" s="77"/>
      <c r="G88" s="77"/>
      <c r="H88" s="77"/>
      <c r="I88" s="77"/>
      <c r="J88" s="68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</row>
    <row r="89" spans="1:237">
      <c r="A89" s="77"/>
      <c r="B89" s="77"/>
      <c r="C89" s="77"/>
      <c r="D89" s="77"/>
      <c r="E89" s="77"/>
      <c r="F89" s="77"/>
      <c r="G89" s="77"/>
      <c r="H89" s="77"/>
      <c r="I89" s="77"/>
      <c r="J89" s="68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</row>
    <row r="90" spans="1:237">
      <c r="A90" s="77"/>
      <c r="B90" s="77"/>
      <c r="C90" s="77"/>
      <c r="D90" s="77"/>
      <c r="E90" s="77"/>
      <c r="F90" s="77"/>
      <c r="G90" s="77"/>
      <c r="H90" s="77"/>
      <c r="I90" s="77"/>
      <c r="J90" s="68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</row>
    <row r="91" spans="1:237">
      <c r="A91" s="77"/>
      <c r="B91" s="77"/>
      <c r="C91" s="77"/>
      <c r="D91" s="77"/>
      <c r="E91" s="77"/>
      <c r="F91" s="77"/>
      <c r="G91" s="77"/>
      <c r="H91" s="77"/>
      <c r="I91" s="77"/>
      <c r="J91" s="68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</row>
    <row r="92" spans="1:237">
      <c r="A92" s="77"/>
      <c r="B92" s="77"/>
      <c r="C92" s="77"/>
      <c r="D92" s="77"/>
      <c r="E92" s="77"/>
      <c r="F92" s="77"/>
      <c r="G92" s="77"/>
      <c r="H92" s="77"/>
      <c r="I92" s="77"/>
      <c r="J92" s="68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</row>
    <row r="93" spans="1:237">
      <c r="A93" s="77"/>
      <c r="B93" s="77"/>
      <c r="C93" s="77"/>
      <c r="D93" s="77"/>
      <c r="E93" s="77"/>
      <c r="F93" s="77"/>
      <c r="G93" s="77"/>
      <c r="H93" s="77"/>
      <c r="I93" s="77"/>
      <c r="J93" s="68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</row>
    <row r="94" spans="1:237">
      <c r="A94" s="77"/>
      <c r="B94" s="77"/>
      <c r="C94" s="77"/>
      <c r="D94" s="77"/>
      <c r="E94" s="77"/>
      <c r="F94" s="77"/>
      <c r="G94" s="77"/>
      <c r="H94" s="77"/>
      <c r="I94" s="77"/>
      <c r="J94" s="68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</row>
    <row r="95" spans="1:237">
      <c r="A95" s="77"/>
      <c r="B95" s="77"/>
      <c r="C95" s="77"/>
      <c r="D95" s="77"/>
      <c r="E95" s="77"/>
      <c r="F95" s="77"/>
      <c r="G95" s="77"/>
      <c r="H95" s="77"/>
      <c r="I95" s="77"/>
      <c r="J95" s="68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</row>
    <row r="96" spans="1:237">
      <c r="A96" s="77"/>
      <c r="B96" s="77"/>
      <c r="C96" s="77"/>
      <c r="D96" s="77"/>
      <c r="E96" s="77"/>
      <c r="F96" s="77"/>
      <c r="G96" s="77"/>
      <c r="H96" s="77"/>
      <c r="I96" s="77"/>
      <c r="J96" s="68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</row>
    <row r="97" spans="1:237">
      <c r="A97" s="77"/>
      <c r="B97" s="77"/>
      <c r="C97" s="77"/>
      <c r="D97" s="77"/>
      <c r="E97" s="77"/>
      <c r="F97" s="77"/>
      <c r="G97" s="77"/>
      <c r="H97" s="77"/>
      <c r="I97" s="77"/>
      <c r="J97" s="68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</row>
    <row r="98" spans="1:237">
      <c r="A98" s="77"/>
      <c r="B98" s="77"/>
      <c r="C98" s="77"/>
      <c r="D98" s="77"/>
      <c r="E98" s="77"/>
      <c r="F98" s="77"/>
      <c r="G98" s="77"/>
      <c r="H98" s="77"/>
      <c r="I98" s="77"/>
      <c r="J98" s="68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</row>
    <row r="99" spans="1:237">
      <c r="A99" s="77"/>
      <c r="B99" s="77"/>
      <c r="C99" s="77"/>
      <c r="D99" s="77"/>
      <c r="E99" s="77"/>
      <c r="F99" s="77"/>
      <c r="G99" s="77"/>
      <c r="H99" s="77"/>
      <c r="I99" s="77"/>
      <c r="J99" s="68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</row>
    <row r="100" spans="1:237">
      <c r="A100" s="77"/>
      <c r="B100" s="77"/>
      <c r="C100" s="77"/>
      <c r="D100" s="77"/>
      <c r="E100" s="77"/>
      <c r="F100" s="77"/>
      <c r="G100" s="77"/>
      <c r="H100" s="77"/>
      <c r="I100" s="77"/>
      <c r="J100" s="68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</row>
    <row r="101" spans="1:237">
      <c r="A101" s="77"/>
      <c r="B101" s="77"/>
      <c r="C101" s="77"/>
      <c r="D101" s="77"/>
      <c r="E101" s="77"/>
      <c r="F101" s="77"/>
      <c r="G101" s="77"/>
      <c r="H101" s="77"/>
      <c r="I101" s="77"/>
      <c r="J101" s="68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</row>
    <row r="102" spans="1:237">
      <c r="A102" s="77"/>
      <c r="B102" s="77"/>
      <c r="C102" s="77"/>
      <c r="D102" s="77"/>
      <c r="E102" s="77"/>
      <c r="F102" s="77"/>
      <c r="G102" s="77"/>
      <c r="H102" s="77"/>
      <c r="I102" s="77"/>
      <c r="J102" s="68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</row>
    <row r="103" spans="1:237">
      <c r="A103" s="77"/>
      <c r="B103" s="77"/>
      <c r="C103" s="77"/>
      <c r="D103" s="77"/>
      <c r="E103" s="77"/>
      <c r="F103" s="77"/>
      <c r="G103" s="77"/>
      <c r="H103" s="77"/>
      <c r="I103" s="77"/>
      <c r="J103" s="68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</row>
    <row r="104" spans="1:237">
      <c r="A104" s="77"/>
      <c r="B104" s="77"/>
      <c r="C104" s="77"/>
      <c r="D104" s="77"/>
      <c r="E104" s="77"/>
      <c r="F104" s="77"/>
      <c r="G104" s="77"/>
      <c r="H104" s="77"/>
      <c r="I104" s="77"/>
      <c r="J104" s="68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</row>
    <row r="105" spans="1:237">
      <c r="A105" s="77"/>
      <c r="B105" s="77"/>
      <c r="C105" s="77"/>
      <c r="D105" s="77"/>
      <c r="E105" s="77"/>
      <c r="F105" s="77"/>
      <c r="G105" s="77"/>
      <c r="H105" s="77"/>
      <c r="I105" s="77"/>
      <c r="J105" s="68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</row>
    <row r="106" spans="1:237">
      <c r="A106" s="77"/>
      <c r="B106" s="77"/>
      <c r="C106" s="77"/>
      <c r="D106" s="77"/>
      <c r="E106" s="77"/>
      <c r="F106" s="77"/>
      <c r="G106" s="77"/>
      <c r="H106" s="77"/>
      <c r="I106" s="77"/>
      <c r="J106" s="68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</row>
    <row r="107" spans="1:237">
      <c r="A107" s="77"/>
      <c r="B107" s="77"/>
      <c r="C107" s="77"/>
      <c r="D107" s="77"/>
      <c r="E107" s="77"/>
      <c r="F107" s="77"/>
      <c r="G107" s="77"/>
      <c r="H107" s="77"/>
      <c r="I107" s="77"/>
      <c r="J107" s="68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</row>
    <row r="108" spans="1:237">
      <c r="A108" s="77"/>
      <c r="B108" s="77"/>
      <c r="C108" s="77"/>
      <c r="D108" s="77"/>
      <c r="E108" s="77"/>
      <c r="F108" s="77"/>
      <c r="G108" s="77"/>
      <c r="H108" s="77"/>
      <c r="I108" s="77"/>
      <c r="J108" s="68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</row>
    <row r="109" spans="1:237">
      <c r="A109" s="77"/>
      <c r="B109" s="77"/>
      <c r="C109" s="77"/>
      <c r="D109" s="77"/>
      <c r="E109" s="77"/>
      <c r="F109" s="77"/>
      <c r="G109" s="77"/>
      <c r="H109" s="77"/>
      <c r="I109" s="77"/>
      <c r="J109" s="68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</row>
    <row r="110" spans="1:237">
      <c r="A110" s="77"/>
      <c r="B110" s="77"/>
      <c r="C110" s="77"/>
      <c r="D110" s="77"/>
      <c r="E110" s="77"/>
      <c r="F110" s="77"/>
      <c r="G110" s="77"/>
      <c r="H110" s="77"/>
      <c r="I110" s="77"/>
      <c r="J110" s="68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</row>
    <row r="111" spans="1:237">
      <c r="A111" s="77"/>
      <c r="B111" s="77"/>
      <c r="C111" s="77"/>
      <c r="D111" s="77"/>
      <c r="E111" s="77"/>
      <c r="F111" s="77"/>
      <c r="G111" s="77"/>
      <c r="H111" s="77"/>
      <c r="I111" s="77"/>
      <c r="J111" s="68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</row>
    <row r="112" spans="1:237">
      <c r="A112" s="77"/>
      <c r="B112" s="77"/>
      <c r="C112" s="77"/>
      <c r="D112" s="77"/>
      <c r="E112" s="77"/>
      <c r="F112" s="77"/>
      <c r="G112" s="77"/>
      <c r="H112" s="77"/>
      <c r="I112" s="77"/>
      <c r="J112" s="68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</row>
    <row r="113" spans="1:237">
      <c r="A113" s="77"/>
      <c r="B113" s="77"/>
      <c r="C113" s="77"/>
      <c r="D113" s="77"/>
      <c r="E113" s="77"/>
      <c r="F113" s="77"/>
      <c r="G113" s="77"/>
      <c r="H113" s="77"/>
      <c r="I113" s="77"/>
      <c r="J113" s="68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</row>
    <row r="114" spans="1:237">
      <c r="A114" s="77"/>
      <c r="B114" s="77"/>
      <c r="C114" s="77"/>
      <c r="D114" s="77"/>
      <c r="E114" s="77"/>
      <c r="F114" s="77"/>
      <c r="G114" s="77"/>
      <c r="H114" s="77"/>
      <c r="I114" s="77"/>
      <c r="J114" s="68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</row>
    <row r="115" spans="1:237">
      <c r="A115" s="77"/>
      <c r="B115" s="77"/>
      <c r="C115" s="77"/>
      <c r="D115" s="77"/>
      <c r="E115" s="77"/>
      <c r="F115" s="77"/>
      <c r="G115" s="77"/>
      <c r="H115" s="77"/>
      <c r="I115" s="77"/>
      <c r="J115" s="68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</row>
    <row r="116" spans="1:237">
      <c r="A116" s="77"/>
      <c r="B116" s="77"/>
      <c r="C116" s="77"/>
      <c r="D116" s="77"/>
      <c r="E116" s="77"/>
      <c r="F116" s="77"/>
      <c r="G116" s="77"/>
      <c r="H116" s="77"/>
      <c r="I116" s="77"/>
      <c r="J116" s="68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</row>
    <row r="117" spans="1:237">
      <c r="A117" s="77"/>
      <c r="B117" s="77"/>
      <c r="C117" s="77"/>
      <c r="D117" s="77"/>
      <c r="E117" s="77"/>
      <c r="F117" s="77"/>
      <c r="G117" s="77"/>
      <c r="H117" s="77"/>
      <c r="I117" s="77"/>
      <c r="J117" s="68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</row>
    <row r="118" spans="1:237">
      <c r="A118" s="77"/>
      <c r="B118" s="77"/>
      <c r="C118" s="77"/>
      <c r="D118" s="77"/>
      <c r="E118" s="77"/>
      <c r="F118" s="77"/>
      <c r="G118" s="77"/>
      <c r="H118" s="77"/>
      <c r="I118" s="77"/>
      <c r="J118" s="68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</row>
    <row r="119" spans="1:237">
      <c r="A119" s="77"/>
      <c r="B119" s="77"/>
      <c r="C119" s="77"/>
      <c r="D119" s="77"/>
      <c r="E119" s="77"/>
      <c r="F119" s="77"/>
      <c r="G119" s="77"/>
      <c r="H119" s="77"/>
      <c r="I119" s="77"/>
      <c r="J119" s="68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</row>
    <row r="120" spans="1:237">
      <c r="A120" s="77"/>
      <c r="B120" s="77"/>
      <c r="C120" s="77"/>
      <c r="D120" s="77"/>
      <c r="E120" s="77"/>
      <c r="F120" s="77"/>
      <c r="G120" s="77"/>
      <c r="H120" s="77"/>
      <c r="I120" s="77"/>
      <c r="J120" s="68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</row>
    <row r="121" spans="1:237">
      <c r="A121" s="77"/>
      <c r="B121" s="77"/>
      <c r="C121" s="77"/>
      <c r="D121" s="77"/>
      <c r="E121" s="77"/>
      <c r="F121" s="77"/>
      <c r="G121" s="77"/>
      <c r="H121" s="77"/>
      <c r="I121" s="77"/>
      <c r="J121" s="68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</row>
    <row r="122" spans="1:237">
      <c r="A122" s="77"/>
      <c r="B122" s="77"/>
      <c r="C122" s="77"/>
      <c r="D122" s="77"/>
      <c r="E122" s="77"/>
      <c r="F122" s="77"/>
      <c r="G122" s="77"/>
      <c r="H122" s="77"/>
      <c r="I122" s="77"/>
      <c r="J122" s="68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</row>
    <row r="123" spans="1:237">
      <c r="A123" s="77"/>
      <c r="B123" s="77"/>
      <c r="C123" s="77"/>
      <c r="D123" s="77"/>
      <c r="E123" s="77"/>
      <c r="F123" s="77"/>
      <c r="G123" s="77"/>
      <c r="H123" s="77"/>
      <c r="I123" s="77"/>
      <c r="J123" s="68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</row>
    <row r="124" spans="1:237">
      <c r="A124" s="77"/>
      <c r="B124" s="77"/>
      <c r="C124" s="77"/>
      <c r="D124" s="77"/>
      <c r="E124" s="77"/>
      <c r="F124" s="77"/>
      <c r="G124" s="77"/>
      <c r="H124" s="77"/>
      <c r="I124" s="77"/>
      <c r="J124" s="68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</row>
    <row r="125" spans="1:237">
      <c r="A125" s="77"/>
      <c r="B125" s="77"/>
      <c r="C125" s="77"/>
      <c r="D125" s="77"/>
      <c r="E125" s="77"/>
      <c r="F125" s="77"/>
      <c r="G125" s="77"/>
      <c r="H125" s="77"/>
      <c r="I125" s="77"/>
      <c r="J125" s="68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</row>
    <row r="126" spans="1:237">
      <c r="A126" s="77"/>
      <c r="B126" s="77"/>
      <c r="C126" s="77"/>
      <c r="D126" s="77"/>
      <c r="E126" s="77"/>
      <c r="F126" s="77"/>
      <c r="G126" s="77"/>
      <c r="H126" s="77"/>
      <c r="I126" s="77"/>
      <c r="J126" s="68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</row>
    <row r="127" spans="1:237">
      <c r="A127" s="77"/>
      <c r="B127" s="77"/>
      <c r="C127" s="77"/>
      <c r="D127" s="77"/>
      <c r="E127" s="77"/>
      <c r="F127" s="77"/>
      <c r="G127" s="77"/>
      <c r="H127" s="77"/>
      <c r="I127" s="77"/>
      <c r="J127" s="68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</row>
    <row r="128" spans="1:237">
      <c r="A128" s="77"/>
      <c r="B128" s="77"/>
      <c r="C128" s="77"/>
      <c r="D128" s="77"/>
      <c r="E128" s="77"/>
      <c r="F128" s="77"/>
      <c r="G128" s="77"/>
      <c r="H128" s="77"/>
      <c r="I128" s="77"/>
      <c r="J128" s="68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</row>
    <row r="129" spans="1:237">
      <c r="A129" s="77"/>
      <c r="B129" s="77"/>
      <c r="C129" s="77"/>
      <c r="D129" s="77"/>
      <c r="E129" s="77"/>
      <c r="F129" s="77"/>
      <c r="G129" s="77"/>
      <c r="H129" s="77"/>
      <c r="I129" s="77"/>
      <c r="J129" s="68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</row>
    <row r="130" spans="1:237">
      <c r="A130" s="77"/>
      <c r="B130" s="77"/>
      <c r="C130" s="77"/>
      <c r="D130" s="77"/>
      <c r="E130" s="77"/>
      <c r="F130" s="77"/>
      <c r="G130" s="77"/>
      <c r="H130" s="77"/>
      <c r="I130" s="77"/>
      <c r="J130" s="68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</row>
    <row r="131" spans="1:237">
      <c r="A131" s="77"/>
      <c r="B131" s="77"/>
      <c r="C131" s="77"/>
      <c r="D131" s="77"/>
      <c r="E131" s="77"/>
      <c r="F131" s="77"/>
      <c r="G131" s="77"/>
      <c r="H131" s="77"/>
      <c r="I131" s="77"/>
      <c r="J131" s="68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</row>
    <row r="132" spans="1:237">
      <c r="A132" s="77"/>
      <c r="B132" s="77"/>
      <c r="C132" s="77"/>
      <c r="D132" s="77"/>
      <c r="E132" s="77"/>
      <c r="F132" s="77"/>
      <c r="G132" s="77"/>
      <c r="H132" s="77"/>
      <c r="I132" s="77"/>
      <c r="J132" s="68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</row>
    <row r="133" spans="1:237">
      <c r="A133" s="77"/>
      <c r="B133" s="77"/>
      <c r="C133" s="77"/>
      <c r="D133" s="77"/>
      <c r="E133" s="77"/>
      <c r="F133" s="77"/>
      <c r="G133" s="77"/>
      <c r="H133" s="77"/>
      <c r="I133" s="77"/>
      <c r="J133" s="68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</row>
    <row r="134" spans="1:237">
      <c r="A134" s="77"/>
      <c r="B134" s="77"/>
      <c r="C134" s="77"/>
      <c r="D134" s="77"/>
      <c r="E134" s="77"/>
      <c r="F134" s="77"/>
      <c r="G134" s="77"/>
      <c r="H134" s="77"/>
      <c r="I134" s="77"/>
      <c r="J134" s="68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</row>
    <row r="135" spans="1:237">
      <c r="A135" s="77"/>
      <c r="B135" s="77"/>
      <c r="C135" s="77"/>
      <c r="D135" s="77"/>
      <c r="E135" s="77"/>
      <c r="F135" s="77"/>
      <c r="G135" s="77"/>
      <c r="H135" s="77"/>
      <c r="I135" s="77"/>
      <c r="J135" s="68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</row>
    <row r="136" spans="1:237">
      <c r="A136" s="77"/>
      <c r="B136" s="77"/>
      <c r="C136" s="77"/>
      <c r="D136" s="77"/>
      <c r="E136" s="77"/>
      <c r="F136" s="77"/>
      <c r="G136" s="77"/>
      <c r="H136" s="77"/>
      <c r="I136" s="77"/>
      <c r="J136" s="68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</row>
    <row r="137" spans="1:237">
      <c r="A137" s="77"/>
      <c r="B137" s="77"/>
      <c r="C137" s="77"/>
      <c r="D137" s="77"/>
      <c r="E137" s="77"/>
      <c r="F137" s="77"/>
      <c r="G137" s="77"/>
      <c r="H137" s="77"/>
      <c r="I137" s="77"/>
      <c r="J137" s="68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</row>
    <row r="138" spans="1:237">
      <c r="A138" s="77"/>
      <c r="B138" s="77"/>
      <c r="C138" s="77"/>
      <c r="D138" s="77"/>
      <c r="E138" s="77"/>
      <c r="F138" s="77"/>
      <c r="G138" s="77"/>
      <c r="H138" s="77"/>
      <c r="I138" s="77"/>
      <c r="J138" s="68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</row>
    <row r="139" spans="1:237">
      <c r="A139" s="77"/>
      <c r="B139" s="77"/>
      <c r="C139" s="77"/>
      <c r="D139" s="77"/>
      <c r="E139" s="77"/>
      <c r="F139" s="77"/>
      <c r="G139" s="77"/>
      <c r="H139" s="77"/>
      <c r="I139" s="77"/>
      <c r="J139" s="68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</row>
    <row r="140" spans="1:237">
      <c r="A140" s="77"/>
      <c r="B140" s="77"/>
      <c r="C140" s="77"/>
      <c r="D140" s="77"/>
      <c r="E140" s="77"/>
      <c r="F140" s="77"/>
      <c r="G140" s="77"/>
      <c r="H140" s="77"/>
      <c r="I140" s="77"/>
      <c r="J140" s="68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</row>
    <row r="141" spans="1:237">
      <c r="A141" s="77"/>
      <c r="B141" s="77"/>
      <c r="C141" s="77"/>
      <c r="D141" s="77"/>
      <c r="E141" s="77"/>
      <c r="F141" s="77"/>
      <c r="G141" s="77"/>
      <c r="H141" s="77"/>
      <c r="I141" s="77"/>
      <c r="J141" s="68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</row>
    <row r="142" spans="1:237">
      <c r="A142" s="77"/>
      <c r="B142" s="77"/>
      <c r="C142" s="77"/>
      <c r="D142" s="77"/>
      <c r="E142" s="77"/>
      <c r="F142" s="77"/>
      <c r="G142" s="77"/>
      <c r="H142" s="77"/>
      <c r="I142" s="77"/>
      <c r="J142" s="68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</row>
    <row r="143" spans="1:237">
      <c r="A143" s="77"/>
      <c r="B143" s="77"/>
      <c r="C143" s="77"/>
      <c r="D143" s="77"/>
      <c r="E143" s="77"/>
      <c r="F143" s="77"/>
      <c r="G143" s="77"/>
      <c r="H143" s="77"/>
      <c r="I143" s="77"/>
      <c r="J143" s="68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</row>
    <row r="144" spans="1:237">
      <c r="A144" s="77"/>
      <c r="B144" s="77"/>
      <c r="C144" s="77"/>
      <c r="D144" s="77"/>
      <c r="E144" s="77"/>
      <c r="F144" s="77"/>
      <c r="G144" s="77"/>
      <c r="H144" s="77"/>
      <c r="I144" s="77"/>
      <c r="J144" s="68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</row>
    <row r="145" spans="1:237">
      <c r="A145" s="77"/>
      <c r="B145" s="77"/>
      <c r="C145" s="77"/>
      <c r="D145" s="77"/>
      <c r="E145" s="77"/>
      <c r="F145" s="77"/>
      <c r="G145" s="77"/>
      <c r="H145" s="77"/>
      <c r="I145" s="77"/>
      <c r="J145" s="68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</row>
    <row r="146" spans="1:237">
      <c r="A146" s="77"/>
      <c r="B146" s="77"/>
      <c r="C146" s="77"/>
      <c r="D146" s="77"/>
      <c r="E146" s="77"/>
      <c r="F146" s="77"/>
      <c r="G146" s="77"/>
      <c r="H146" s="77"/>
      <c r="I146" s="77"/>
      <c r="J146" s="68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</row>
    <row r="147" spans="1:237">
      <c r="A147" s="77"/>
      <c r="B147" s="77"/>
      <c r="C147" s="77"/>
      <c r="D147" s="77"/>
      <c r="E147" s="77"/>
      <c r="F147" s="77"/>
      <c r="G147" s="77"/>
      <c r="H147" s="77"/>
      <c r="I147" s="77"/>
      <c r="J147" s="68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</row>
    <row r="148" spans="1:237">
      <c r="A148" s="77"/>
      <c r="B148" s="77"/>
      <c r="C148" s="77"/>
      <c r="D148" s="77"/>
      <c r="E148" s="77"/>
      <c r="F148" s="77"/>
      <c r="G148" s="77"/>
      <c r="H148" s="77"/>
      <c r="I148" s="77"/>
      <c r="J148" s="68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</row>
    <row r="149" spans="1:237">
      <c r="A149" s="77"/>
      <c r="B149" s="77"/>
      <c r="C149" s="77"/>
      <c r="D149" s="77"/>
      <c r="E149" s="77"/>
      <c r="F149" s="77"/>
      <c r="G149" s="77"/>
      <c r="H149" s="77"/>
      <c r="I149" s="77"/>
      <c r="J149" s="68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</row>
    <row r="150" spans="1:237">
      <c r="A150" s="77"/>
      <c r="B150" s="77"/>
      <c r="C150" s="77"/>
      <c r="D150" s="77"/>
      <c r="E150" s="77"/>
      <c r="F150" s="77"/>
      <c r="G150" s="77"/>
      <c r="H150" s="77"/>
      <c r="I150" s="77"/>
      <c r="J150" s="68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</row>
    <row r="151" spans="1:237">
      <c r="A151" s="77"/>
      <c r="B151" s="77"/>
      <c r="C151" s="77"/>
      <c r="D151" s="77"/>
      <c r="E151" s="77"/>
      <c r="F151" s="77"/>
      <c r="G151" s="77"/>
      <c r="H151" s="77"/>
      <c r="I151" s="77"/>
      <c r="J151" s="68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</row>
    <row r="152" spans="1:237">
      <c r="A152" s="77"/>
      <c r="B152" s="77"/>
      <c r="C152" s="77"/>
      <c r="D152" s="77"/>
      <c r="E152" s="77"/>
      <c r="F152" s="77"/>
      <c r="G152" s="77"/>
      <c r="H152" s="77"/>
      <c r="I152" s="77"/>
      <c r="J152" s="68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</row>
    <row r="153" spans="1:237">
      <c r="A153" s="77"/>
      <c r="B153" s="77"/>
      <c r="C153" s="77"/>
      <c r="D153" s="77"/>
      <c r="E153" s="77"/>
      <c r="F153" s="77"/>
      <c r="G153" s="77"/>
      <c r="H153" s="77"/>
      <c r="I153" s="77"/>
      <c r="J153" s="68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</row>
    <row r="154" spans="1:237">
      <c r="A154" s="77"/>
      <c r="B154" s="77"/>
      <c r="C154" s="77"/>
      <c r="D154" s="77"/>
      <c r="E154" s="77"/>
      <c r="F154" s="77"/>
      <c r="G154" s="77"/>
      <c r="H154" s="77"/>
      <c r="I154" s="77"/>
      <c r="J154" s="68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</row>
    <row r="155" spans="1:237">
      <c r="A155" s="77"/>
      <c r="B155" s="77"/>
      <c r="C155" s="77"/>
      <c r="D155" s="77"/>
      <c r="E155" s="77"/>
      <c r="F155" s="77"/>
      <c r="G155" s="77"/>
      <c r="H155" s="77"/>
      <c r="I155" s="77"/>
      <c r="J155" s="68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</row>
    <row r="156" spans="1:237">
      <c r="A156" s="77"/>
      <c r="B156" s="77"/>
      <c r="C156" s="77"/>
      <c r="D156" s="77"/>
      <c r="E156" s="77"/>
      <c r="F156" s="77"/>
      <c r="G156" s="77"/>
      <c r="H156" s="77"/>
      <c r="I156" s="77"/>
      <c r="J156" s="68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</row>
    <row r="157" spans="1:237">
      <c r="A157" s="77"/>
      <c r="B157" s="77"/>
      <c r="C157" s="77"/>
      <c r="D157" s="77"/>
      <c r="E157" s="77"/>
      <c r="F157" s="77"/>
      <c r="G157" s="77"/>
      <c r="H157" s="77"/>
      <c r="I157" s="77"/>
      <c r="J157" s="68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</row>
    <row r="158" spans="1:237">
      <c r="A158" s="77"/>
      <c r="B158" s="77"/>
      <c r="C158" s="77"/>
      <c r="D158" s="77"/>
      <c r="E158" s="77"/>
      <c r="F158" s="77"/>
      <c r="G158" s="77"/>
      <c r="H158" s="77"/>
      <c r="I158" s="77"/>
      <c r="J158" s="68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</row>
    <row r="159" spans="1:237">
      <c r="A159" s="77"/>
      <c r="B159" s="77"/>
      <c r="C159" s="77"/>
      <c r="D159" s="77"/>
      <c r="E159" s="77"/>
      <c r="F159" s="77"/>
      <c r="G159" s="77"/>
      <c r="H159" s="77"/>
      <c r="I159" s="77"/>
      <c r="J159" s="68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</row>
    <row r="160" spans="1:237">
      <c r="A160" s="77"/>
      <c r="B160" s="77"/>
      <c r="C160" s="77"/>
      <c r="D160" s="77"/>
      <c r="E160" s="77"/>
      <c r="F160" s="77"/>
      <c r="G160" s="77"/>
      <c r="H160" s="77"/>
      <c r="I160" s="77"/>
      <c r="J160" s="68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</row>
    <row r="161" spans="1:237">
      <c r="A161" s="77"/>
      <c r="B161" s="77"/>
      <c r="C161" s="77"/>
      <c r="D161" s="77"/>
      <c r="E161" s="77"/>
      <c r="F161" s="77"/>
      <c r="G161" s="77"/>
      <c r="H161" s="77"/>
      <c r="I161" s="77"/>
      <c r="J161" s="68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</row>
    <row r="162" spans="1:237">
      <c r="A162" s="77"/>
      <c r="B162" s="77"/>
      <c r="C162" s="77"/>
      <c r="D162" s="77"/>
      <c r="E162" s="77"/>
      <c r="F162" s="77"/>
      <c r="G162" s="77"/>
      <c r="H162" s="77"/>
      <c r="I162" s="77"/>
      <c r="J162" s="68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</row>
    <row r="163" spans="1:237">
      <c r="A163" s="77"/>
      <c r="B163" s="77"/>
      <c r="C163" s="77"/>
      <c r="D163" s="77"/>
      <c r="E163" s="77"/>
      <c r="F163" s="77"/>
      <c r="G163" s="77"/>
      <c r="H163" s="77"/>
      <c r="I163" s="77"/>
      <c r="J163" s="68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</row>
    <row r="164" spans="1:237">
      <c r="A164" s="77"/>
      <c r="B164" s="77"/>
      <c r="C164" s="77"/>
      <c r="D164" s="77"/>
      <c r="E164" s="77"/>
      <c r="F164" s="77"/>
      <c r="G164" s="77"/>
      <c r="H164" s="77"/>
      <c r="I164" s="77"/>
      <c r="J164" s="68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</row>
    <row r="165" spans="1:237">
      <c r="A165" s="77"/>
      <c r="B165" s="77"/>
      <c r="C165" s="77"/>
      <c r="D165" s="77"/>
      <c r="E165" s="77"/>
      <c r="F165" s="77"/>
      <c r="G165" s="77"/>
      <c r="H165" s="77"/>
      <c r="I165" s="77"/>
      <c r="J165" s="68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</row>
    <row r="166" spans="1:237">
      <c r="A166" s="77"/>
      <c r="B166" s="77"/>
      <c r="C166" s="77"/>
      <c r="D166" s="77"/>
      <c r="E166" s="77"/>
      <c r="F166" s="77"/>
      <c r="G166" s="77"/>
      <c r="H166" s="77"/>
      <c r="I166" s="77"/>
      <c r="J166" s="68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</row>
    <row r="167" spans="1:237">
      <c r="A167" s="77"/>
      <c r="B167" s="77"/>
      <c r="C167" s="77"/>
      <c r="D167" s="77"/>
      <c r="E167" s="77"/>
      <c r="F167" s="77"/>
      <c r="G167" s="77"/>
      <c r="H167" s="77"/>
      <c r="I167" s="77"/>
      <c r="J167" s="68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</row>
    <row r="168" spans="1:237">
      <c r="A168" s="77"/>
      <c r="B168" s="77"/>
      <c r="C168" s="77"/>
      <c r="D168" s="77"/>
      <c r="E168" s="77"/>
      <c r="F168" s="77"/>
      <c r="G168" s="77"/>
      <c r="H168" s="77"/>
      <c r="I168" s="77"/>
      <c r="J168" s="68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</row>
    <row r="169" spans="1:237">
      <c r="A169" s="77"/>
      <c r="B169" s="77"/>
      <c r="C169" s="77"/>
      <c r="D169" s="77"/>
      <c r="E169" s="77"/>
      <c r="F169" s="77"/>
      <c r="G169" s="77"/>
      <c r="H169" s="77"/>
      <c r="I169" s="77"/>
      <c r="J169" s="68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</row>
    <row r="170" spans="1:237">
      <c r="A170" s="77"/>
      <c r="B170" s="77"/>
      <c r="C170" s="77"/>
      <c r="D170" s="77"/>
      <c r="E170" s="77"/>
      <c r="F170" s="77"/>
      <c r="G170" s="77"/>
      <c r="H170" s="77"/>
      <c r="I170" s="77"/>
      <c r="J170" s="68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</row>
    <row r="171" spans="1:237">
      <c r="A171" s="77"/>
      <c r="B171" s="77"/>
      <c r="C171" s="77"/>
      <c r="D171" s="77"/>
      <c r="E171" s="77"/>
      <c r="F171" s="77"/>
      <c r="G171" s="77"/>
      <c r="H171" s="77"/>
      <c r="I171" s="77"/>
      <c r="J171" s="68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</row>
    <row r="172" spans="1:237">
      <c r="A172" s="77"/>
      <c r="B172" s="77"/>
      <c r="C172" s="77"/>
      <c r="D172" s="77"/>
      <c r="E172" s="77"/>
      <c r="F172" s="77"/>
      <c r="G172" s="77"/>
      <c r="H172" s="77"/>
      <c r="I172" s="77"/>
      <c r="J172" s="68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</row>
    <row r="173" spans="1:237">
      <c r="A173" s="77"/>
      <c r="B173" s="77"/>
      <c r="C173" s="77"/>
      <c r="D173" s="77"/>
      <c r="E173" s="77"/>
      <c r="F173" s="77"/>
      <c r="G173" s="77"/>
      <c r="H173" s="77"/>
      <c r="I173" s="77"/>
      <c r="J173" s="68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</row>
    <row r="174" spans="1:237">
      <c r="A174" s="77"/>
      <c r="B174" s="77"/>
      <c r="C174" s="77"/>
      <c r="D174" s="77"/>
      <c r="E174" s="77"/>
      <c r="F174" s="77"/>
      <c r="G174" s="77"/>
      <c r="H174" s="77"/>
      <c r="I174" s="77"/>
      <c r="J174" s="68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</row>
    <row r="175" spans="1:237">
      <c r="A175" s="77"/>
      <c r="B175" s="77"/>
      <c r="C175" s="77"/>
      <c r="D175" s="77"/>
      <c r="E175" s="77"/>
      <c r="F175" s="77"/>
      <c r="G175" s="77"/>
      <c r="H175" s="77"/>
      <c r="I175" s="77"/>
      <c r="J175" s="68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</row>
    <row r="176" spans="1:237">
      <c r="A176" s="77"/>
      <c r="B176" s="77"/>
      <c r="C176" s="77"/>
      <c r="D176" s="77"/>
      <c r="E176" s="77"/>
      <c r="F176" s="77"/>
      <c r="G176" s="77"/>
      <c r="H176" s="77"/>
      <c r="I176" s="77"/>
      <c r="J176" s="68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</row>
    <row r="177" spans="1:237">
      <c r="A177" s="77"/>
      <c r="B177" s="77"/>
      <c r="C177" s="77"/>
      <c r="D177" s="77"/>
      <c r="E177" s="77"/>
      <c r="F177" s="77"/>
      <c r="G177" s="77"/>
      <c r="H177" s="77"/>
      <c r="I177" s="77"/>
      <c r="J177" s="68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</row>
    <row r="178" spans="1:237">
      <c r="A178" s="77"/>
      <c r="B178" s="77"/>
      <c r="C178" s="77"/>
      <c r="D178" s="77"/>
      <c r="E178" s="77"/>
      <c r="F178" s="77"/>
      <c r="G178" s="77"/>
      <c r="H178" s="77"/>
      <c r="I178" s="77"/>
      <c r="J178" s="68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</row>
    <row r="179" spans="1:237">
      <c r="A179" s="77"/>
      <c r="B179" s="77"/>
      <c r="C179" s="77"/>
      <c r="D179" s="77"/>
      <c r="E179" s="77"/>
      <c r="F179" s="77"/>
      <c r="G179" s="77"/>
      <c r="H179" s="77"/>
      <c r="I179" s="77"/>
      <c r="J179" s="68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</row>
    <row r="180" spans="1:237">
      <c r="A180" s="77"/>
      <c r="B180" s="77"/>
      <c r="C180" s="77"/>
      <c r="D180" s="77"/>
      <c r="E180" s="77"/>
      <c r="F180" s="77"/>
      <c r="G180" s="77"/>
      <c r="H180" s="77"/>
      <c r="I180" s="77"/>
      <c r="J180" s="68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</row>
    <row r="181" spans="1:237">
      <c r="A181" s="77"/>
      <c r="B181" s="77"/>
      <c r="C181" s="77"/>
      <c r="D181" s="77"/>
      <c r="E181" s="77"/>
      <c r="F181" s="77"/>
      <c r="G181" s="77"/>
      <c r="H181" s="77"/>
      <c r="I181" s="77"/>
      <c r="J181" s="68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</row>
    <row r="182" spans="1:237">
      <c r="A182" s="77"/>
      <c r="B182" s="77"/>
      <c r="C182" s="77"/>
      <c r="D182" s="77"/>
      <c r="E182" s="77"/>
      <c r="F182" s="77"/>
      <c r="G182" s="77"/>
      <c r="H182" s="77"/>
      <c r="I182" s="77"/>
      <c r="J182" s="68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</row>
    <row r="183" spans="1:237">
      <c r="A183" s="77"/>
      <c r="B183" s="77"/>
      <c r="C183" s="77"/>
      <c r="D183" s="77"/>
      <c r="E183" s="77"/>
      <c r="F183" s="77"/>
      <c r="G183" s="77"/>
      <c r="H183" s="77"/>
      <c r="I183" s="77"/>
      <c r="J183" s="68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</row>
    <row r="184" spans="1:237">
      <c r="A184" s="77"/>
      <c r="B184" s="77"/>
      <c r="C184" s="77"/>
      <c r="D184" s="77"/>
      <c r="E184" s="77"/>
      <c r="F184" s="77"/>
      <c r="G184" s="77"/>
      <c r="H184" s="77"/>
      <c r="I184" s="77"/>
      <c r="J184" s="68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</row>
    <row r="185" spans="1:237">
      <c r="A185" s="77"/>
      <c r="B185" s="77"/>
      <c r="C185" s="77"/>
      <c r="D185" s="77"/>
      <c r="E185" s="77"/>
      <c r="F185" s="77"/>
      <c r="G185" s="77"/>
      <c r="H185" s="77"/>
      <c r="I185" s="77"/>
      <c r="J185" s="68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</row>
    <row r="186" spans="1:237">
      <c r="A186" s="77"/>
      <c r="B186" s="77"/>
      <c r="C186" s="77"/>
      <c r="D186" s="77"/>
      <c r="E186" s="77"/>
      <c r="F186" s="77"/>
      <c r="G186" s="77"/>
      <c r="H186" s="77"/>
      <c r="I186" s="77"/>
      <c r="J186" s="68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</row>
    <row r="187" spans="1:237">
      <c r="A187" s="77"/>
      <c r="B187" s="77"/>
      <c r="C187" s="77"/>
      <c r="D187" s="77"/>
      <c r="E187" s="77"/>
      <c r="F187" s="77"/>
      <c r="G187" s="77"/>
      <c r="H187" s="77"/>
      <c r="I187" s="77"/>
      <c r="J187" s="68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</row>
    <row r="188" spans="1:237">
      <c r="A188" s="77"/>
      <c r="B188" s="77"/>
      <c r="C188" s="77"/>
      <c r="D188" s="77"/>
      <c r="E188" s="77"/>
      <c r="F188" s="77"/>
      <c r="G188" s="77"/>
      <c r="H188" s="77"/>
      <c r="I188" s="77"/>
      <c r="J188" s="68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</row>
    <row r="189" spans="1:237">
      <c r="A189" s="77"/>
      <c r="B189" s="77"/>
      <c r="C189" s="77"/>
      <c r="D189" s="77"/>
      <c r="E189" s="77"/>
      <c r="F189" s="77"/>
      <c r="G189" s="77"/>
      <c r="H189" s="77"/>
      <c r="I189" s="77"/>
      <c r="J189" s="68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</row>
    <row r="190" spans="1:237">
      <c r="A190" s="77"/>
      <c r="B190" s="77"/>
      <c r="C190" s="77"/>
      <c r="D190" s="77"/>
      <c r="E190" s="77"/>
      <c r="F190" s="77"/>
      <c r="G190" s="77"/>
      <c r="H190" s="77"/>
      <c r="I190" s="77"/>
      <c r="J190" s="68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</row>
    <row r="191" spans="1:237">
      <c r="A191" s="77"/>
      <c r="B191" s="77"/>
      <c r="C191" s="77"/>
      <c r="D191" s="77"/>
      <c r="E191" s="77"/>
      <c r="F191" s="77"/>
      <c r="G191" s="77"/>
      <c r="H191" s="77"/>
      <c r="I191" s="77"/>
      <c r="J191" s="68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</row>
    <row r="192" spans="1:237">
      <c r="A192" s="77"/>
      <c r="B192" s="77"/>
      <c r="C192" s="77"/>
      <c r="D192" s="77"/>
      <c r="E192" s="77"/>
      <c r="F192" s="77"/>
      <c r="G192" s="77"/>
      <c r="H192" s="77"/>
      <c r="I192" s="77"/>
      <c r="J192" s="68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</row>
    <row r="193" spans="1:237">
      <c r="A193" s="77"/>
      <c r="B193" s="77"/>
      <c r="C193" s="77"/>
      <c r="D193" s="77"/>
      <c r="E193" s="77"/>
      <c r="F193" s="77"/>
      <c r="G193" s="77"/>
      <c r="H193" s="77"/>
      <c r="I193" s="77"/>
      <c r="J193" s="68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</row>
    <row r="194" spans="1:237">
      <c r="A194" s="77"/>
      <c r="B194" s="77"/>
      <c r="C194" s="77"/>
      <c r="D194" s="77"/>
      <c r="E194" s="77"/>
      <c r="F194" s="77"/>
      <c r="G194" s="77"/>
      <c r="H194" s="77"/>
      <c r="I194" s="77"/>
      <c r="J194" s="68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</row>
    <row r="195" spans="1:237">
      <c r="A195" s="77"/>
      <c r="B195" s="77"/>
      <c r="C195" s="77"/>
      <c r="D195" s="77"/>
      <c r="E195" s="77"/>
      <c r="F195" s="77"/>
      <c r="G195" s="77"/>
      <c r="H195" s="77"/>
      <c r="I195" s="77"/>
      <c r="J195" s="68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</row>
    <row r="196" spans="1:237">
      <c r="A196" s="77"/>
      <c r="B196" s="77"/>
      <c r="C196" s="77"/>
      <c r="D196" s="77"/>
      <c r="E196" s="77"/>
      <c r="F196" s="77"/>
      <c r="G196" s="77"/>
      <c r="H196" s="77"/>
      <c r="I196" s="77"/>
      <c r="J196" s="68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</row>
    <row r="197" spans="1:237">
      <c r="A197" s="77"/>
      <c r="B197" s="77"/>
      <c r="C197" s="77"/>
      <c r="D197" s="77"/>
      <c r="E197" s="77"/>
      <c r="F197" s="77"/>
      <c r="G197" s="77"/>
      <c r="H197" s="77"/>
      <c r="I197" s="77"/>
      <c r="J197" s="68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</row>
    <row r="198" spans="1:237">
      <c r="A198" s="77"/>
      <c r="B198" s="77"/>
      <c r="C198" s="77"/>
      <c r="D198" s="77"/>
      <c r="E198" s="77"/>
      <c r="F198" s="77"/>
      <c r="G198" s="77"/>
      <c r="H198" s="77"/>
      <c r="I198" s="77"/>
      <c r="J198" s="68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</row>
    <row r="199" spans="1:237">
      <c r="A199" s="77"/>
      <c r="B199" s="77"/>
      <c r="C199" s="77"/>
      <c r="D199" s="77"/>
      <c r="E199" s="77"/>
      <c r="F199" s="77"/>
      <c r="G199" s="77"/>
      <c r="H199" s="77"/>
      <c r="I199" s="77"/>
      <c r="J199" s="68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</row>
    <row r="200" spans="1:237">
      <c r="A200" s="77"/>
      <c r="B200" s="77"/>
      <c r="C200" s="77"/>
      <c r="D200" s="77"/>
      <c r="E200" s="77"/>
      <c r="F200" s="77"/>
      <c r="G200" s="77"/>
      <c r="H200" s="77"/>
      <c r="I200" s="77"/>
      <c r="J200" s="68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</row>
    <row r="201" spans="1:237">
      <c r="A201" s="77"/>
      <c r="B201" s="77"/>
      <c r="C201" s="77"/>
      <c r="D201" s="77"/>
      <c r="E201" s="77"/>
      <c r="F201" s="77"/>
      <c r="G201" s="77"/>
      <c r="H201" s="77"/>
      <c r="I201" s="77"/>
      <c r="J201" s="68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</row>
    <row r="202" spans="1:237">
      <c r="A202" s="77"/>
      <c r="B202" s="77"/>
      <c r="C202" s="77"/>
      <c r="D202" s="77"/>
      <c r="E202" s="77"/>
      <c r="F202" s="77"/>
      <c r="G202" s="77"/>
      <c r="H202" s="77"/>
      <c r="I202" s="77"/>
      <c r="J202" s="68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</row>
    <row r="203" spans="1:237">
      <c r="A203" s="77"/>
      <c r="B203" s="77"/>
      <c r="C203" s="77"/>
      <c r="D203" s="77"/>
      <c r="E203" s="77"/>
      <c r="F203" s="77"/>
      <c r="G203" s="77"/>
      <c r="H203" s="77"/>
      <c r="I203" s="77"/>
      <c r="J203" s="68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</row>
    <row r="204" spans="1:237">
      <c r="A204" s="77"/>
      <c r="B204" s="77"/>
      <c r="C204" s="77"/>
      <c r="D204" s="77"/>
      <c r="E204" s="77"/>
      <c r="F204" s="77"/>
      <c r="G204" s="77"/>
      <c r="H204" s="77"/>
      <c r="I204" s="77"/>
      <c r="J204" s="68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</row>
    <row r="205" spans="1:237">
      <c r="A205" s="77"/>
      <c r="B205" s="77"/>
      <c r="C205" s="77"/>
      <c r="D205" s="77"/>
      <c r="E205" s="77"/>
      <c r="F205" s="77"/>
      <c r="G205" s="77"/>
      <c r="H205" s="77"/>
      <c r="I205" s="77"/>
      <c r="J205" s="68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</row>
    <row r="206" spans="1:237">
      <c r="A206" s="77"/>
      <c r="B206" s="77"/>
      <c r="C206" s="77"/>
      <c r="D206" s="77"/>
      <c r="E206" s="77"/>
      <c r="F206" s="77"/>
      <c r="G206" s="77"/>
      <c r="H206" s="77"/>
      <c r="I206" s="77"/>
      <c r="J206" s="68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</row>
    <row r="207" spans="1:237">
      <c r="A207" s="77"/>
      <c r="B207" s="77"/>
      <c r="C207" s="77"/>
      <c r="D207" s="77"/>
      <c r="E207" s="77"/>
      <c r="F207" s="77"/>
      <c r="G207" s="77"/>
      <c r="H207" s="77"/>
      <c r="I207" s="77"/>
      <c r="J207" s="68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</row>
    <row r="208" spans="1:237">
      <c r="A208" s="77"/>
      <c r="B208" s="77"/>
      <c r="C208" s="77"/>
      <c r="D208" s="77"/>
      <c r="E208" s="77"/>
      <c r="F208" s="77"/>
      <c r="G208" s="77"/>
      <c r="H208" s="77"/>
      <c r="I208" s="77"/>
      <c r="J208" s="68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</row>
    <row r="209" spans="1:237">
      <c r="A209" s="77"/>
      <c r="B209" s="77"/>
      <c r="C209" s="77"/>
      <c r="D209" s="77"/>
      <c r="E209" s="77"/>
      <c r="F209" s="77"/>
      <c r="G209" s="77"/>
      <c r="H209" s="77"/>
      <c r="I209" s="77"/>
      <c r="J209" s="68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</row>
    <row r="210" spans="1:237">
      <c r="A210" s="77"/>
      <c r="B210" s="77"/>
      <c r="C210" s="77"/>
      <c r="D210" s="77"/>
      <c r="E210" s="77"/>
      <c r="F210" s="77"/>
      <c r="G210" s="77"/>
      <c r="H210" s="77"/>
      <c r="I210" s="77"/>
      <c r="J210" s="68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</row>
    <row r="211" spans="1:237">
      <c r="A211" s="77"/>
      <c r="B211" s="77"/>
      <c r="C211" s="77"/>
      <c r="D211" s="77"/>
      <c r="E211" s="77"/>
      <c r="F211" s="77"/>
      <c r="G211" s="77"/>
      <c r="H211" s="77"/>
      <c r="I211" s="77"/>
      <c r="J211" s="68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</row>
    <row r="212" spans="1:237">
      <c r="A212" s="77"/>
      <c r="B212" s="77"/>
      <c r="C212" s="77"/>
      <c r="D212" s="77"/>
      <c r="E212" s="77"/>
      <c r="F212" s="77"/>
      <c r="G212" s="77"/>
      <c r="H212" s="77"/>
      <c r="I212" s="77"/>
      <c r="J212" s="68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</row>
    <row r="213" spans="1:237">
      <c r="A213" s="77"/>
      <c r="B213" s="77"/>
      <c r="C213" s="77"/>
      <c r="D213" s="77"/>
      <c r="E213" s="77"/>
      <c r="F213" s="77"/>
      <c r="G213" s="77"/>
      <c r="H213" s="77"/>
      <c r="I213" s="77"/>
      <c r="J213" s="68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</row>
    <row r="214" spans="1:237">
      <c r="A214" s="77"/>
      <c r="B214" s="77"/>
      <c r="C214" s="77"/>
      <c r="D214" s="77"/>
      <c r="E214" s="77"/>
      <c r="F214" s="77"/>
      <c r="G214" s="77"/>
      <c r="H214" s="77"/>
      <c r="I214" s="77"/>
      <c r="J214" s="68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</row>
    <row r="215" spans="1:237">
      <c r="A215" s="77"/>
      <c r="B215" s="77"/>
      <c r="C215" s="77"/>
      <c r="D215" s="77"/>
      <c r="E215" s="77"/>
      <c r="F215" s="77"/>
      <c r="G215" s="77"/>
      <c r="H215" s="77"/>
      <c r="I215" s="77"/>
      <c r="J215" s="68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</row>
    <row r="216" spans="1:237">
      <c r="A216" s="77"/>
      <c r="B216" s="77"/>
      <c r="C216" s="77"/>
      <c r="D216" s="77"/>
      <c r="E216" s="77"/>
      <c r="F216" s="77"/>
      <c r="G216" s="77"/>
      <c r="H216" s="77"/>
      <c r="I216" s="77"/>
      <c r="J216" s="68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</row>
    <row r="217" spans="1:237">
      <c r="A217" s="77"/>
      <c r="B217" s="77"/>
      <c r="C217" s="77"/>
      <c r="D217" s="77"/>
      <c r="E217" s="77"/>
      <c r="F217" s="77"/>
      <c r="G217" s="77"/>
      <c r="H217" s="77"/>
      <c r="I217" s="77"/>
      <c r="J217" s="68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</row>
    <row r="218" spans="1:237">
      <c r="A218" s="77"/>
      <c r="B218" s="77"/>
      <c r="C218" s="77"/>
      <c r="D218" s="77"/>
      <c r="E218" s="77"/>
      <c r="F218" s="77"/>
      <c r="G218" s="77"/>
      <c r="H218" s="77"/>
      <c r="I218" s="77"/>
      <c r="J218" s="68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</row>
    <row r="219" spans="1:237">
      <c r="A219" s="77"/>
      <c r="B219" s="77"/>
      <c r="C219" s="77"/>
      <c r="D219" s="77"/>
      <c r="E219" s="77"/>
      <c r="F219" s="77"/>
      <c r="G219" s="77"/>
      <c r="H219" s="77"/>
      <c r="I219" s="77"/>
      <c r="J219" s="68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</row>
    <row r="220" spans="1:237">
      <c r="A220" s="77"/>
      <c r="B220" s="77"/>
      <c r="C220" s="77"/>
      <c r="D220" s="77"/>
      <c r="E220" s="77"/>
      <c r="F220" s="77"/>
      <c r="G220" s="77"/>
      <c r="H220" s="77"/>
      <c r="I220" s="77"/>
      <c r="J220" s="68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</row>
    <row r="221" spans="1:237">
      <c r="A221" s="77"/>
      <c r="B221" s="77"/>
      <c r="C221" s="77"/>
      <c r="D221" s="77"/>
      <c r="E221" s="77"/>
      <c r="F221" s="77"/>
      <c r="G221" s="77"/>
      <c r="H221" s="77"/>
      <c r="I221" s="77"/>
      <c r="J221" s="68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</row>
    <row r="222" spans="1:237">
      <c r="A222" s="77"/>
      <c r="B222" s="77"/>
      <c r="C222" s="77"/>
      <c r="D222" s="77"/>
      <c r="E222" s="77"/>
      <c r="F222" s="77"/>
      <c r="G222" s="77"/>
      <c r="H222" s="77"/>
      <c r="I222" s="77"/>
      <c r="J222" s="68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</row>
    <row r="223" spans="1:237">
      <c r="A223" s="77"/>
      <c r="B223" s="77"/>
      <c r="C223" s="77"/>
      <c r="D223" s="77"/>
      <c r="E223" s="77"/>
      <c r="F223" s="77"/>
      <c r="G223" s="77"/>
      <c r="H223" s="77"/>
      <c r="I223" s="77"/>
      <c r="J223" s="68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</row>
    <row r="224" spans="1:237">
      <c r="A224" s="77"/>
      <c r="B224" s="77"/>
      <c r="C224" s="77"/>
      <c r="D224" s="77"/>
      <c r="E224" s="77"/>
      <c r="F224" s="77"/>
      <c r="G224" s="77"/>
      <c r="H224" s="77"/>
      <c r="I224" s="77"/>
      <c r="J224" s="68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</row>
    <row r="225" spans="1:237">
      <c r="A225" s="77"/>
      <c r="B225" s="77"/>
      <c r="C225" s="77"/>
      <c r="D225" s="77"/>
      <c r="E225" s="77"/>
      <c r="F225" s="77"/>
      <c r="G225" s="77"/>
      <c r="H225" s="77"/>
      <c r="I225" s="77"/>
      <c r="J225" s="68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</row>
    <row r="226" spans="1:237">
      <c r="A226" s="77"/>
      <c r="B226" s="77"/>
      <c r="C226" s="77"/>
      <c r="D226" s="77"/>
      <c r="E226" s="77"/>
      <c r="F226" s="77"/>
      <c r="G226" s="77"/>
      <c r="H226" s="77"/>
      <c r="I226" s="77"/>
      <c r="J226" s="68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</row>
    <row r="227" spans="1:237">
      <c r="A227" s="77"/>
      <c r="B227" s="77"/>
      <c r="C227" s="77"/>
      <c r="D227" s="77"/>
      <c r="E227" s="77"/>
      <c r="F227" s="77"/>
      <c r="G227" s="77"/>
      <c r="H227" s="77"/>
      <c r="I227" s="77"/>
      <c r="J227" s="68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</row>
    <row r="228" spans="1:237">
      <c r="A228" s="77"/>
      <c r="B228" s="77"/>
      <c r="C228" s="77"/>
      <c r="D228" s="77"/>
      <c r="E228" s="77"/>
      <c r="F228" s="77"/>
      <c r="G228" s="77"/>
      <c r="H228" s="77"/>
      <c r="I228" s="77"/>
      <c r="J228" s="68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</row>
    <row r="229" spans="1:237">
      <c r="A229" s="77"/>
      <c r="B229" s="77"/>
      <c r="C229" s="77"/>
      <c r="D229" s="77"/>
      <c r="E229" s="77"/>
      <c r="F229" s="77"/>
      <c r="G229" s="77"/>
      <c r="H229" s="77"/>
      <c r="I229" s="77"/>
      <c r="J229" s="68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</row>
    <row r="230" spans="1:237">
      <c r="A230" s="77"/>
      <c r="B230" s="77"/>
      <c r="C230" s="77"/>
      <c r="D230" s="77"/>
      <c r="E230" s="77"/>
      <c r="F230" s="77"/>
      <c r="G230" s="77"/>
      <c r="H230" s="77"/>
      <c r="I230" s="77"/>
      <c r="J230" s="68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</row>
    <row r="231" spans="1:237">
      <c r="A231" s="77"/>
      <c r="B231" s="77"/>
      <c r="C231" s="77"/>
      <c r="D231" s="77"/>
      <c r="E231" s="77"/>
      <c r="F231" s="77"/>
      <c r="G231" s="77"/>
      <c r="H231" s="77"/>
      <c r="I231" s="77"/>
      <c r="J231" s="68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</row>
    <row r="232" spans="1:237">
      <c r="A232" s="77"/>
      <c r="B232" s="77"/>
      <c r="C232" s="77"/>
      <c r="D232" s="77"/>
      <c r="E232" s="77"/>
      <c r="F232" s="77"/>
      <c r="G232" s="77"/>
      <c r="H232" s="77"/>
      <c r="I232" s="77"/>
      <c r="J232" s="68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</row>
    <row r="233" spans="1:237">
      <c r="A233" s="77"/>
      <c r="B233" s="77"/>
      <c r="C233" s="77"/>
      <c r="D233" s="77"/>
      <c r="E233" s="77"/>
      <c r="F233" s="77"/>
      <c r="G233" s="77"/>
      <c r="H233" s="77"/>
      <c r="I233" s="77"/>
      <c r="J233" s="68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</row>
    <row r="234" spans="1:237">
      <c r="A234" s="77"/>
      <c r="B234" s="77"/>
      <c r="C234" s="77"/>
      <c r="D234" s="77"/>
      <c r="E234" s="77"/>
      <c r="F234" s="77"/>
      <c r="G234" s="77"/>
      <c r="H234" s="77"/>
      <c r="I234" s="77"/>
      <c r="J234" s="68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</row>
    <row r="235" spans="1:237">
      <c r="A235" s="77"/>
      <c r="B235" s="77"/>
      <c r="C235" s="77"/>
      <c r="D235" s="77"/>
      <c r="E235" s="77"/>
      <c r="F235" s="77"/>
      <c r="G235" s="77"/>
      <c r="H235" s="77"/>
      <c r="I235" s="77"/>
      <c r="J235" s="68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</row>
    <row r="236" spans="1:237">
      <c r="A236" s="77"/>
      <c r="B236" s="77"/>
      <c r="C236" s="77"/>
      <c r="D236" s="77"/>
      <c r="E236" s="77"/>
      <c r="F236" s="77"/>
      <c r="G236" s="77"/>
      <c r="H236" s="77"/>
      <c r="I236" s="77"/>
      <c r="J236" s="68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</row>
    <row r="237" spans="1:237">
      <c r="A237" s="77"/>
      <c r="B237" s="77"/>
      <c r="C237" s="77"/>
      <c r="D237" s="77"/>
      <c r="E237" s="77"/>
      <c r="F237" s="77"/>
      <c r="G237" s="77"/>
      <c r="H237" s="77"/>
      <c r="I237" s="77"/>
      <c r="J237" s="68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</row>
    <row r="238" spans="1:237">
      <c r="A238" s="77"/>
      <c r="B238" s="77"/>
      <c r="C238" s="77"/>
      <c r="D238" s="77"/>
      <c r="E238" s="77"/>
      <c r="F238" s="77"/>
      <c r="G238" s="77"/>
      <c r="H238" s="77"/>
      <c r="I238" s="77"/>
      <c r="J238" s="68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</row>
    <row r="239" spans="1:237">
      <c r="A239" s="77"/>
      <c r="B239" s="77"/>
      <c r="C239" s="77"/>
      <c r="D239" s="77"/>
      <c r="E239" s="77"/>
      <c r="F239" s="77"/>
      <c r="G239" s="77"/>
      <c r="H239" s="77"/>
      <c r="I239" s="77"/>
      <c r="J239" s="68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</row>
    <row r="240" spans="1:237">
      <c r="A240" s="77"/>
      <c r="B240" s="77"/>
      <c r="C240" s="77"/>
      <c r="D240" s="77"/>
      <c r="E240" s="77"/>
      <c r="F240" s="77"/>
      <c r="G240" s="77"/>
      <c r="H240" s="77"/>
      <c r="I240" s="77"/>
      <c r="J240" s="68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</row>
    <row r="241" spans="1:237">
      <c r="A241" s="77"/>
      <c r="B241" s="77"/>
      <c r="C241" s="77"/>
      <c r="D241" s="77"/>
      <c r="E241" s="77"/>
      <c r="F241" s="77"/>
      <c r="G241" s="77"/>
      <c r="H241" s="77"/>
      <c r="I241" s="77"/>
      <c r="J241" s="68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</row>
    <row r="242" spans="1:237">
      <c r="A242" s="77"/>
      <c r="B242" s="77"/>
      <c r="C242" s="77"/>
      <c r="D242" s="77"/>
      <c r="E242" s="77"/>
      <c r="F242" s="77"/>
      <c r="G242" s="77"/>
      <c r="H242" s="77"/>
      <c r="I242" s="77"/>
      <c r="J242" s="68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</row>
    <row r="243" spans="1:237">
      <c r="A243" s="77"/>
      <c r="B243" s="77"/>
      <c r="C243" s="77"/>
      <c r="D243" s="77"/>
      <c r="E243" s="77"/>
      <c r="F243" s="77"/>
      <c r="G243" s="77"/>
      <c r="H243" s="77"/>
      <c r="I243" s="77"/>
      <c r="J243" s="68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</row>
    <row r="244" spans="1:237">
      <c r="A244" s="77"/>
      <c r="B244" s="77"/>
      <c r="C244" s="77"/>
      <c r="D244" s="77"/>
      <c r="E244" s="77"/>
      <c r="F244" s="77"/>
      <c r="G244" s="77"/>
      <c r="H244" s="77"/>
      <c r="I244" s="77"/>
      <c r="J244" s="68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</row>
    <row r="245" spans="1:237">
      <c r="A245" s="77"/>
      <c r="B245" s="77"/>
      <c r="C245" s="77"/>
      <c r="D245" s="77"/>
      <c r="E245" s="77"/>
      <c r="F245" s="77"/>
      <c r="G245" s="77"/>
      <c r="H245" s="77"/>
      <c r="I245" s="77"/>
      <c r="J245" s="68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</row>
    <row r="246" spans="1:237">
      <c r="A246" s="77"/>
      <c r="B246" s="77"/>
      <c r="C246" s="77"/>
      <c r="D246" s="77"/>
      <c r="E246" s="77"/>
      <c r="F246" s="77"/>
      <c r="G246" s="77"/>
      <c r="H246" s="77"/>
      <c r="I246" s="77"/>
      <c r="J246" s="68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</row>
    <row r="247" spans="1:237">
      <c r="A247" s="77"/>
      <c r="B247" s="77"/>
      <c r="C247" s="77"/>
      <c r="D247" s="77"/>
      <c r="E247" s="77"/>
      <c r="F247" s="77"/>
      <c r="G247" s="77"/>
      <c r="H247" s="77"/>
      <c r="I247" s="77"/>
      <c r="J247" s="68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</row>
    <row r="248" spans="1:237">
      <c r="A248" s="77"/>
      <c r="B248" s="77"/>
      <c r="C248" s="77"/>
      <c r="D248" s="77"/>
      <c r="E248" s="77"/>
      <c r="F248" s="77"/>
      <c r="G248" s="77"/>
      <c r="H248" s="77"/>
      <c r="I248" s="77"/>
      <c r="J248" s="68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</row>
    <row r="249" spans="1:237">
      <c r="A249" s="77"/>
      <c r="B249" s="77"/>
      <c r="C249" s="77"/>
      <c r="D249" s="77"/>
      <c r="E249" s="77"/>
      <c r="F249" s="77"/>
      <c r="G249" s="77"/>
      <c r="H249" s="77"/>
      <c r="I249" s="77"/>
      <c r="J249" s="68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</row>
    <row r="250" spans="1:237">
      <c r="A250" s="77"/>
      <c r="B250" s="77"/>
      <c r="C250" s="77"/>
      <c r="D250" s="77"/>
      <c r="E250" s="77"/>
      <c r="F250" s="77"/>
      <c r="G250" s="77"/>
      <c r="H250" s="77"/>
      <c r="I250" s="77"/>
      <c r="J250" s="68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</row>
    <row r="251" spans="1:237">
      <c r="A251" s="77"/>
      <c r="B251" s="77"/>
      <c r="C251" s="77"/>
      <c r="D251" s="77"/>
      <c r="E251" s="77"/>
      <c r="F251" s="77"/>
      <c r="G251" s="77"/>
      <c r="H251" s="77"/>
      <c r="I251" s="77"/>
      <c r="J251" s="68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</row>
    <row r="252" spans="1:237">
      <c r="A252" s="77"/>
      <c r="B252" s="77"/>
      <c r="C252" s="77"/>
      <c r="D252" s="77"/>
      <c r="E252" s="77"/>
      <c r="F252" s="77"/>
      <c r="G252" s="77"/>
      <c r="H252" s="77"/>
      <c r="I252" s="77"/>
      <c r="J252" s="68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</row>
    <row r="253" spans="1:237">
      <c r="A253" s="77"/>
      <c r="B253" s="77"/>
      <c r="C253" s="77"/>
      <c r="D253" s="77"/>
      <c r="E253" s="77"/>
      <c r="F253" s="77"/>
      <c r="G253" s="77"/>
      <c r="H253" s="77"/>
      <c r="I253" s="77"/>
      <c r="J253" s="68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</row>
    <row r="254" spans="1:237">
      <c r="A254" s="77"/>
      <c r="B254" s="77"/>
      <c r="C254" s="77"/>
      <c r="D254" s="77"/>
      <c r="E254" s="77"/>
      <c r="F254" s="77"/>
      <c r="G254" s="77"/>
      <c r="H254" s="77"/>
      <c r="I254" s="77"/>
      <c r="J254" s="68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</row>
    <row r="255" spans="1:237">
      <c r="A255" s="77"/>
      <c r="B255" s="77"/>
      <c r="C255" s="77"/>
      <c r="D255" s="77"/>
      <c r="E255" s="77"/>
      <c r="F255" s="77"/>
      <c r="G255" s="77"/>
      <c r="H255" s="77"/>
      <c r="I255" s="77"/>
      <c r="J255" s="68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</row>
    <row r="256" spans="1:237">
      <c r="A256" s="77"/>
      <c r="B256" s="77"/>
      <c r="C256" s="77"/>
      <c r="D256" s="77"/>
      <c r="E256" s="77"/>
      <c r="F256" s="77"/>
      <c r="G256" s="77"/>
      <c r="H256" s="77"/>
      <c r="I256" s="77"/>
      <c r="J256" s="68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</row>
    <row r="257" spans="1:237">
      <c r="A257" s="77"/>
      <c r="B257" s="77"/>
      <c r="C257" s="77"/>
      <c r="D257" s="77"/>
      <c r="E257" s="77"/>
      <c r="F257" s="77"/>
      <c r="G257" s="77"/>
      <c r="H257" s="77"/>
      <c r="I257" s="77"/>
      <c r="J257" s="68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</row>
    <row r="258" spans="1:237">
      <c r="A258" s="77"/>
      <c r="B258" s="77"/>
      <c r="C258" s="77"/>
      <c r="D258" s="77"/>
      <c r="E258" s="77"/>
      <c r="F258" s="77"/>
      <c r="G258" s="77"/>
      <c r="H258" s="77"/>
      <c r="I258" s="77"/>
      <c r="J258" s="68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</row>
    <row r="259" spans="1:237">
      <c r="A259" s="77"/>
      <c r="B259" s="77"/>
      <c r="C259" s="77"/>
      <c r="D259" s="77"/>
      <c r="E259" s="77"/>
      <c r="F259" s="77"/>
      <c r="G259" s="77"/>
      <c r="H259" s="77"/>
      <c r="I259" s="77"/>
      <c r="J259" s="68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  <c r="GM259" s="21"/>
      <c r="GN259" s="21"/>
      <c r="GO259" s="21"/>
      <c r="GP259" s="21"/>
      <c r="GQ259" s="21"/>
      <c r="GR259" s="21"/>
      <c r="GS259" s="21"/>
      <c r="GT259" s="21"/>
      <c r="GU259" s="21"/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</row>
    <row r="260" spans="1:237">
      <c r="A260" s="77"/>
      <c r="B260" s="77"/>
      <c r="C260" s="77"/>
      <c r="D260" s="77"/>
      <c r="E260" s="77"/>
      <c r="F260" s="77"/>
      <c r="G260" s="77"/>
      <c r="H260" s="77"/>
      <c r="I260" s="77"/>
      <c r="J260" s="68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  <c r="GM260" s="21"/>
      <c r="GN260" s="21"/>
      <c r="GO260" s="21"/>
      <c r="GP260" s="21"/>
      <c r="GQ260" s="21"/>
      <c r="GR260" s="21"/>
      <c r="GS260" s="21"/>
      <c r="GT260" s="21"/>
      <c r="GU260" s="21"/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</row>
    <row r="261" spans="1:237">
      <c r="A261" s="77"/>
      <c r="B261" s="77"/>
      <c r="C261" s="77"/>
      <c r="D261" s="77"/>
      <c r="E261" s="77"/>
      <c r="F261" s="77"/>
      <c r="G261" s="77"/>
      <c r="H261" s="77"/>
      <c r="I261" s="77"/>
      <c r="J261" s="68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  <c r="GM261" s="21"/>
      <c r="GN261" s="21"/>
      <c r="GO261" s="21"/>
      <c r="GP261" s="21"/>
      <c r="GQ261" s="21"/>
      <c r="GR261" s="21"/>
      <c r="GS261" s="21"/>
      <c r="GT261" s="21"/>
      <c r="GU261" s="21"/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</row>
    <row r="262" spans="1:237">
      <c r="A262" s="77"/>
      <c r="B262" s="77"/>
      <c r="C262" s="77"/>
      <c r="D262" s="77"/>
      <c r="E262" s="77"/>
      <c r="F262" s="77"/>
      <c r="G262" s="77"/>
      <c r="H262" s="77"/>
      <c r="I262" s="77"/>
      <c r="J262" s="68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  <c r="GM262" s="21"/>
      <c r="GN262" s="21"/>
      <c r="GO262" s="21"/>
      <c r="GP262" s="21"/>
      <c r="GQ262" s="21"/>
      <c r="GR262" s="21"/>
      <c r="GS262" s="21"/>
      <c r="GT262" s="21"/>
      <c r="GU262" s="21"/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</row>
    <row r="263" spans="1:237">
      <c r="A263" s="77"/>
      <c r="B263" s="77"/>
      <c r="C263" s="77"/>
      <c r="D263" s="77"/>
      <c r="E263" s="77"/>
      <c r="F263" s="77"/>
      <c r="G263" s="77"/>
      <c r="H263" s="77"/>
      <c r="I263" s="77"/>
      <c r="J263" s="68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  <c r="GM263" s="21"/>
      <c r="GN263" s="21"/>
      <c r="GO263" s="21"/>
      <c r="GP263" s="21"/>
      <c r="GQ263" s="21"/>
      <c r="GR263" s="21"/>
      <c r="GS263" s="21"/>
      <c r="GT263" s="21"/>
      <c r="GU263" s="21"/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</row>
    <row r="264" spans="1:237">
      <c r="A264" s="77"/>
      <c r="B264" s="77"/>
      <c r="C264" s="77"/>
      <c r="D264" s="77"/>
      <c r="E264" s="77"/>
      <c r="F264" s="77"/>
      <c r="G264" s="77"/>
      <c r="H264" s="77"/>
      <c r="I264" s="77"/>
      <c r="J264" s="68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  <c r="GM264" s="21"/>
      <c r="GN264" s="21"/>
      <c r="GO264" s="21"/>
      <c r="GP264" s="21"/>
      <c r="GQ264" s="21"/>
      <c r="GR264" s="21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</row>
    <row r="265" spans="1:237">
      <c r="A265" s="77"/>
      <c r="B265" s="77"/>
      <c r="C265" s="77"/>
      <c r="D265" s="77"/>
      <c r="E265" s="77"/>
      <c r="F265" s="77"/>
      <c r="G265" s="77"/>
      <c r="H265" s="77"/>
      <c r="I265" s="77"/>
      <c r="J265" s="68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</row>
    <row r="266" spans="1:237">
      <c r="A266" s="77"/>
      <c r="B266" s="77"/>
      <c r="C266" s="77"/>
      <c r="D266" s="77"/>
      <c r="E266" s="77"/>
      <c r="F266" s="77"/>
      <c r="G266" s="77"/>
      <c r="H266" s="77"/>
      <c r="I266" s="77"/>
      <c r="J266" s="68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  <c r="GM266" s="21"/>
      <c r="GN266" s="21"/>
      <c r="GO266" s="21"/>
      <c r="GP266" s="21"/>
      <c r="GQ266" s="21"/>
      <c r="GR266" s="21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</row>
    <row r="267" spans="1:237">
      <c r="A267" s="77"/>
      <c r="B267" s="77"/>
      <c r="C267" s="77"/>
      <c r="D267" s="77"/>
      <c r="E267" s="77"/>
      <c r="F267" s="77"/>
      <c r="G267" s="77"/>
      <c r="H267" s="77"/>
      <c r="I267" s="77"/>
      <c r="J267" s="68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</row>
    <row r="268" spans="1:237">
      <c r="A268" s="77"/>
      <c r="B268" s="77"/>
      <c r="C268" s="77"/>
      <c r="D268" s="77"/>
      <c r="E268" s="77"/>
      <c r="F268" s="77"/>
      <c r="G268" s="77"/>
      <c r="H268" s="77"/>
      <c r="I268" s="77"/>
      <c r="J268" s="68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  <c r="GM268" s="21"/>
      <c r="GN268" s="21"/>
      <c r="GO268" s="21"/>
      <c r="GP268" s="21"/>
      <c r="GQ268" s="21"/>
      <c r="GR268" s="21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</row>
    <row r="269" spans="1:237">
      <c r="A269" s="77"/>
      <c r="B269" s="77"/>
      <c r="C269" s="77"/>
      <c r="D269" s="77"/>
      <c r="E269" s="77"/>
      <c r="F269" s="77"/>
      <c r="G269" s="77"/>
      <c r="H269" s="77"/>
      <c r="I269" s="77"/>
      <c r="J269" s="68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  <c r="GM269" s="21"/>
      <c r="GN269" s="21"/>
      <c r="GO269" s="21"/>
      <c r="GP269" s="21"/>
      <c r="GQ269" s="21"/>
      <c r="GR269" s="21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</row>
    <row r="270" spans="1:237">
      <c r="A270" s="77"/>
      <c r="B270" s="77"/>
      <c r="C270" s="77"/>
      <c r="D270" s="77"/>
      <c r="E270" s="77"/>
      <c r="F270" s="77"/>
      <c r="G270" s="77"/>
      <c r="H270" s="77"/>
      <c r="I270" s="77"/>
      <c r="J270" s="68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  <c r="GM270" s="21"/>
      <c r="GN270" s="21"/>
      <c r="GO270" s="21"/>
      <c r="GP270" s="21"/>
      <c r="GQ270" s="21"/>
      <c r="GR270" s="21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</row>
    <row r="271" spans="1:237">
      <c r="A271" s="77"/>
      <c r="B271" s="77"/>
      <c r="C271" s="77"/>
      <c r="D271" s="77"/>
      <c r="E271" s="77"/>
      <c r="F271" s="77"/>
      <c r="G271" s="77"/>
      <c r="H271" s="77"/>
      <c r="I271" s="77"/>
      <c r="J271" s="68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  <c r="GM271" s="21"/>
      <c r="GN271" s="21"/>
      <c r="GO271" s="21"/>
      <c r="GP271" s="21"/>
      <c r="GQ271" s="21"/>
      <c r="GR271" s="21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</row>
    <row r="272" spans="1:237">
      <c r="A272" s="77"/>
      <c r="B272" s="77"/>
      <c r="C272" s="77"/>
      <c r="D272" s="77"/>
      <c r="E272" s="77"/>
      <c r="F272" s="77"/>
      <c r="G272" s="77"/>
      <c r="H272" s="77"/>
      <c r="I272" s="77"/>
      <c r="J272" s="68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  <c r="GM272" s="21"/>
      <c r="GN272" s="21"/>
      <c r="GO272" s="21"/>
      <c r="GP272" s="21"/>
      <c r="GQ272" s="21"/>
      <c r="GR272" s="21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</row>
    <row r="273" spans="1:237">
      <c r="A273" s="77"/>
      <c r="B273" s="77"/>
      <c r="C273" s="77"/>
      <c r="D273" s="77"/>
      <c r="E273" s="77"/>
      <c r="F273" s="77"/>
      <c r="G273" s="77"/>
      <c r="H273" s="77"/>
      <c r="I273" s="77"/>
      <c r="J273" s="68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  <c r="GM273" s="21"/>
      <c r="GN273" s="21"/>
      <c r="GO273" s="21"/>
      <c r="GP273" s="21"/>
      <c r="GQ273" s="21"/>
      <c r="GR273" s="21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</row>
    <row r="274" spans="1:237">
      <c r="A274" s="77"/>
      <c r="B274" s="77"/>
      <c r="C274" s="77"/>
      <c r="D274" s="77"/>
      <c r="E274" s="77"/>
      <c r="F274" s="77"/>
      <c r="G274" s="77"/>
      <c r="H274" s="77"/>
      <c r="I274" s="77"/>
      <c r="J274" s="68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1"/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</row>
    <row r="275" spans="1:237">
      <c r="A275" s="77"/>
      <c r="B275" s="77"/>
      <c r="C275" s="77"/>
      <c r="D275" s="77"/>
      <c r="E275" s="77"/>
      <c r="F275" s="77"/>
      <c r="G275" s="77"/>
      <c r="H275" s="77"/>
      <c r="I275" s="77"/>
      <c r="J275" s="68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  <c r="GM275" s="21"/>
      <c r="GN275" s="21"/>
      <c r="GO275" s="21"/>
      <c r="GP275" s="21"/>
      <c r="GQ275" s="21"/>
      <c r="GR275" s="21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</row>
    <row r="276" spans="1:237">
      <c r="A276" s="77"/>
      <c r="B276" s="77"/>
      <c r="C276" s="77"/>
      <c r="D276" s="77"/>
      <c r="E276" s="77"/>
      <c r="F276" s="77"/>
      <c r="G276" s="77"/>
      <c r="H276" s="77"/>
      <c r="I276" s="77"/>
      <c r="J276" s="68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  <c r="GM276" s="21"/>
      <c r="GN276" s="21"/>
      <c r="GO276" s="21"/>
      <c r="GP276" s="21"/>
      <c r="GQ276" s="21"/>
      <c r="GR276" s="21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</row>
    <row r="277" spans="1:237">
      <c r="A277" s="77"/>
      <c r="B277" s="77"/>
      <c r="C277" s="77"/>
      <c r="D277" s="77"/>
      <c r="E277" s="77"/>
      <c r="F277" s="77"/>
      <c r="G277" s="77"/>
      <c r="H277" s="77"/>
      <c r="I277" s="77"/>
      <c r="J277" s="68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  <c r="GM277" s="21"/>
      <c r="GN277" s="21"/>
      <c r="GO277" s="21"/>
      <c r="GP277" s="21"/>
      <c r="GQ277" s="21"/>
      <c r="GR277" s="21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</row>
    <row r="278" spans="1:237">
      <c r="A278" s="77"/>
      <c r="B278" s="77"/>
      <c r="C278" s="77"/>
      <c r="D278" s="77"/>
      <c r="E278" s="77"/>
      <c r="F278" s="77"/>
      <c r="G278" s="77"/>
      <c r="H278" s="77"/>
      <c r="I278" s="77"/>
      <c r="J278" s="68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  <c r="GM278" s="21"/>
      <c r="GN278" s="21"/>
      <c r="GO278" s="21"/>
      <c r="GP278" s="21"/>
      <c r="GQ278" s="21"/>
      <c r="GR278" s="21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</row>
    <row r="279" spans="1:237">
      <c r="A279" s="77"/>
      <c r="B279" s="77"/>
      <c r="C279" s="77"/>
      <c r="D279" s="77"/>
      <c r="E279" s="77"/>
      <c r="F279" s="77"/>
      <c r="G279" s="77"/>
      <c r="H279" s="77"/>
      <c r="I279" s="77"/>
      <c r="J279" s="68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  <c r="GM279" s="21"/>
      <c r="GN279" s="21"/>
      <c r="GO279" s="21"/>
      <c r="GP279" s="21"/>
      <c r="GQ279" s="21"/>
      <c r="GR279" s="21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</row>
    <row r="280" spans="1:237">
      <c r="A280" s="77"/>
      <c r="B280" s="77"/>
      <c r="C280" s="77"/>
      <c r="D280" s="77"/>
      <c r="E280" s="77"/>
      <c r="F280" s="77"/>
      <c r="G280" s="77"/>
      <c r="H280" s="77"/>
      <c r="I280" s="77"/>
      <c r="J280" s="68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  <c r="GM280" s="21"/>
      <c r="GN280" s="21"/>
      <c r="GO280" s="21"/>
      <c r="GP280" s="21"/>
      <c r="GQ280" s="21"/>
      <c r="GR280" s="21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</row>
    <row r="281" spans="1:237">
      <c r="A281" s="77"/>
      <c r="B281" s="77"/>
      <c r="C281" s="77"/>
      <c r="D281" s="77"/>
      <c r="E281" s="77"/>
      <c r="F281" s="77"/>
      <c r="G281" s="77"/>
      <c r="H281" s="77"/>
      <c r="I281" s="77"/>
      <c r="J281" s="68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  <c r="GM281" s="21"/>
      <c r="GN281" s="21"/>
      <c r="GO281" s="21"/>
      <c r="GP281" s="21"/>
      <c r="GQ281" s="21"/>
      <c r="GR281" s="21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</row>
    <row r="282" spans="1:237">
      <c r="A282" s="77"/>
      <c r="B282" s="77"/>
      <c r="C282" s="77"/>
      <c r="D282" s="77"/>
      <c r="E282" s="77"/>
      <c r="F282" s="77"/>
      <c r="G282" s="77"/>
      <c r="H282" s="77"/>
      <c r="I282" s="77"/>
      <c r="J282" s="68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  <c r="GM282" s="21"/>
      <c r="GN282" s="21"/>
      <c r="GO282" s="21"/>
      <c r="GP282" s="21"/>
      <c r="GQ282" s="21"/>
      <c r="GR282" s="21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</row>
    <row r="283" spans="1:237">
      <c r="A283" s="77"/>
      <c r="B283" s="77"/>
      <c r="C283" s="77"/>
      <c r="D283" s="77"/>
      <c r="E283" s="77"/>
      <c r="F283" s="77"/>
      <c r="G283" s="77"/>
      <c r="H283" s="77"/>
      <c r="I283" s="77"/>
      <c r="J283" s="68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  <c r="GM283" s="21"/>
      <c r="GN283" s="21"/>
      <c r="GO283" s="21"/>
      <c r="GP283" s="21"/>
      <c r="GQ283" s="21"/>
      <c r="GR283" s="21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</row>
    <row r="284" spans="1:237">
      <c r="A284" s="77"/>
      <c r="B284" s="77"/>
      <c r="C284" s="77"/>
      <c r="D284" s="77"/>
      <c r="E284" s="77"/>
      <c r="F284" s="77"/>
      <c r="G284" s="77"/>
      <c r="H284" s="77"/>
      <c r="I284" s="77"/>
      <c r="J284" s="68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  <c r="GJ284" s="21"/>
      <c r="GK284" s="21"/>
      <c r="GL284" s="21"/>
      <c r="GM284" s="21"/>
      <c r="GN284" s="21"/>
      <c r="GO284" s="21"/>
      <c r="GP284" s="21"/>
      <c r="GQ284" s="21"/>
      <c r="GR284" s="21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</row>
    <row r="285" spans="1:237">
      <c r="A285" s="77"/>
      <c r="B285" s="77"/>
      <c r="C285" s="77"/>
      <c r="D285" s="77"/>
      <c r="E285" s="77"/>
      <c r="F285" s="77"/>
      <c r="G285" s="77"/>
      <c r="H285" s="77"/>
      <c r="I285" s="77"/>
      <c r="J285" s="68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  <c r="GJ285" s="21"/>
      <c r="GK285" s="21"/>
      <c r="GL285" s="21"/>
      <c r="GM285" s="21"/>
      <c r="GN285" s="21"/>
      <c r="GO285" s="21"/>
      <c r="GP285" s="21"/>
      <c r="GQ285" s="21"/>
      <c r="GR285" s="21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</row>
    <row r="286" spans="1:237">
      <c r="A286" s="77"/>
      <c r="B286" s="77"/>
      <c r="C286" s="77"/>
      <c r="D286" s="77"/>
      <c r="E286" s="77"/>
      <c r="F286" s="77"/>
      <c r="G286" s="77"/>
      <c r="H286" s="77"/>
      <c r="I286" s="77"/>
      <c r="J286" s="68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  <c r="GJ286" s="21"/>
      <c r="GK286" s="21"/>
      <c r="GL286" s="21"/>
      <c r="GM286" s="21"/>
      <c r="GN286" s="21"/>
      <c r="GO286" s="21"/>
      <c r="GP286" s="21"/>
      <c r="GQ286" s="21"/>
      <c r="GR286" s="21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</row>
    <row r="287" spans="1:237">
      <c r="A287" s="77"/>
      <c r="B287" s="77"/>
      <c r="C287" s="77"/>
      <c r="D287" s="77"/>
      <c r="E287" s="77"/>
      <c r="F287" s="77"/>
      <c r="G287" s="77"/>
      <c r="H287" s="77"/>
      <c r="I287" s="77"/>
      <c r="J287" s="68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  <c r="GM287" s="21"/>
      <c r="GN287" s="21"/>
      <c r="GO287" s="21"/>
      <c r="GP287" s="21"/>
      <c r="GQ287" s="21"/>
      <c r="GR287" s="21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</row>
    <row r="288" spans="1:237">
      <c r="A288" s="77"/>
      <c r="B288" s="77"/>
      <c r="C288" s="77"/>
      <c r="D288" s="77"/>
      <c r="E288" s="77"/>
      <c r="F288" s="77"/>
      <c r="G288" s="77"/>
      <c r="H288" s="77"/>
      <c r="I288" s="77"/>
      <c r="J288" s="68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  <c r="GM288" s="21"/>
      <c r="GN288" s="21"/>
      <c r="GO288" s="21"/>
      <c r="GP288" s="21"/>
      <c r="GQ288" s="21"/>
      <c r="GR288" s="21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</row>
    <row r="289" spans="1:237">
      <c r="A289" s="77"/>
      <c r="B289" s="77"/>
      <c r="C289" s="77"/>
      <c r="D289" s="77"/>
      <c r="E289" s="77"/>
      <c r="F289" s="77"/>
      <c r="G289" s="77"/>
      <c r="H289" s="77"/>
      <c r="I289" s="77"/>
      <c r="J289" s="68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  <c r="GM289" s="21"/>
      <c r="GN289" s="21"/>
      <c r="GO289" s="21"/>
      <c r="GP289" s="21"/>
      <c r="GQ289" s="21"/>
      <c r="GR289" s="21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</row>
    <row r="290" spans="1:237">
      <c r="A290" s="77"/>
      <c r="B290" s="77"/>
      <c r="C290" s="77"/>
      <c r="D290" s="77"/>
      <c r="E290" s="77"/>
      <c r="F290" s="77"/>
      <c r="G290" s="77"/>
      <c r="H290" s="77"/>
      <c r="I290" s="77"/>
      <c r="J290" s="68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  <c r="GM290" s="21"/>
      <c r="GN290" s="21"/>
      <c r="GO290" s="21"/>
      <c r="GP290" s="21"/>
      <c r="GQ290" s="21"/>
      <c r="GR290" s="21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</row>
    <row r="291" spans="1:237">
      <c r="A291" s="77"/>
      <c r="B291" s="77"/>
      <c r="C291" s="77"/>
      <c r="D291" s="77"/>
      <c r="E291" s="77"/>
      <c r="F291" s="77"/>
      <c r="G291" s="77"/>
      <c r="H291" s="77"/>
      <c r="I291" s="77"/>
      <c r="J291" s="68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  <c r="GM291" s="21"/>
      <c r="GN291" s="21"/>
      <c r="GO291" s="21"/>
      <c r="GP291" s="21"/>
      <c r="GQ291" s="21"/>
      <c r="GR291" s="21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</row>
    <row r="292" spans="1:237">
      <c r="A292" s="77"/>
      <c r="B292" s="77"/>
      <c r="C292" s="77"/>
      <c r="D292" s="77"/>
      <c r="E292" s="77"/>
      <c r="F292" s="77"/>
      <c r="G292" s="77"/>
      <c r="H292" s="77"/>
      <c r="I292" s="77"/>
      <c r="J292" s="68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  <c r="GM292" s="21"/>
      <c r="GN292" s="21"/>
      <c r="GO292" s="21"/>
      <c r="GP292" s="21"/>
      <c r="GQ292" s="21"/>
      <c r="GR292" s="21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</row>
    <row r="293" spans="1:237">
      <c r="A293" s="77"/>
      <c r="B293" s="77"/>
      <c r="C293" s="77"/>
      <c r="D293" s="77"/>
      <c r="E293" s="77"/>
      <c r="F293" s="77"/>
      <c r="G293" s="77"/>
      <c r="H293" s="77"/>
      <c r="I293" s="77"/>
      <c r="J293" s="68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  <c r="GM293" s="21"/>
      <c r="GN293" s="21"/>
      <c r="GO293" s="21"/>
      <c r="GP293" s="21"/>
      <c r="GQ293" s="21"/>
      <c r="GR293" s="21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</row>
    <row r="294" spans="1:237">
      <c r="A294" s="77"/>
      <c r="B294" s="77"/>
      <c r="C294" s="77"/>
      <c r="D294" s="77"/>
      <c r="E294" s="77"/>
      <c r="F294" s="77"/>
      <c r="G294" s="77"/>
      <c r="H294" s="77"/>
      <c r="I294" s="77"/>
      <c r="J294" s="68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  <c r="GJ294" s="21"/>
      <c r="GK294" s="21"/>
      <c r="GL294" s="21"/>
      <c r="GM294" s="21"/>
      <c r="GN294" s="21"/>
      <c r="GO294" s="21"/>
      <c r="GP294" s="21"/>
      <c r="GQ294" s="21"/>
      <c r="GR294" s="21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</row>
    <row r="295" spans="1:237">
      <c r="A295" s="77"/>
      <c r="B295" s="77"/>
      <c r="C295" s="77"/>
      <c r="D295" s="77"/>
      <c r="E295" s="77"/>
      <c r="F295" s="77"/>
      <c r="G295" s="77"/>
      <c r="H295" s="77"/>
      <c r="I295" s="77"/>
      <c r="J295" s="68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  <c r="GJ295" s="21"/>
      <c r="GK295" s="21"/>
      <c r="GL295" s="21"/>
      <c r="GM295" s="21"/>
      <c r="GN295" s="21"/>
      <c r="GO295" s="21"/>
      <c r="GP295" s="21"/>
      <c r="GQ295" s="21"/>
      <c r="GR295" s="21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</row>
    <row r="296" spans="1:237">
      <c r="A296" s="77"/>
      <c r="B296" s="77"/>
      <c r="C296" s="77"/>
      <c r="D296" s="77"/>
      <c r="E296" s="77"/>
      <c r="F296" s="77"/>
      <c r="G296" s="77"/>
      <c r="H296" s="77"/>
      <c r="I296" s="77"/>
      <c r="J296" s="68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  <c r="GJ296" s="21"/>
      <c r="GK296" s="21"/>
      <c r="GL296" s="21"/>
      <c r="GM296" s="21"/>
      <c r="GN296" s="21"/>
      <c r="GO296" s="21"/>
      <c r="GP296" s="21"/>
      <c r="GQ296" s="21"/>
      <c r="GR296" s="21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</row>
    <row r="297" spans="1:237">
      <c r="A297" s="77"/>
      <c r="B297" s="77"/>
      <c r="C297" s="77"/>
      <c r="D297" s="77"/>
      <c r="E297" s="77"/>
      <c r="F297" s="77"/>
      <c r="G297" s="77"/>
      <c r="H297" s="77"/>
      <c r="I297" s="77"/>
      <c r="J297" s="68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  <c r="GJ297" s="21"/>
      <c r="GK297" s="21"/>
      <c r="GL297" s="21"/>
      <c r="GM297" s="21"/>
      <c r="GN297" s="21"/>
      <c r="GO297" s="21"/>
      <c r="GP297" s="21"/>
      <c r="GQ297" s="21"/>
      <c r="GR297" s="21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</row>
    <row r="298" spans="1:237">
      <c r="A298" s="77"/>
      <c r="B298" s="77"/>
      <c r="C298" s="77"/>
      <c r="D298" s="77"/>
      <c r="E298" s="77"/>
      <c r="F298" s="77"/>
      <c r="G298" s="77"/>
      <c r="H298" s="77"/>
      <c r="I298" s="77"/>
      <c r="J298" s="68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  <c r="GJ298" s="21"/>
      <c r="GK298" s="21"/>
      <c r="GL298" s="21"/>
      <c r="GM298" s="21"/>
      <c r="GN298" s="21"/>
      <c r="GO298" s="21"/>
      <c r="GP298" s="21"/>
      <c r="GQ298" s="21"/>
      <c r="GR298" s="21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</row>
    <row r="299" spans="1:237">
      <c r="A299" s="77"/>
      <c r="B299" s="77"/>
      <c r="C299" s="77"/>
      <c r="D299" s="77"/>
      <c r="E299" s="77"/>
      <c r="F299" s="77"/>
      <c r="G299" s="77"/>
      <c r="H299" s="77"/>
      <c r="I299" s="77"/>
      <c r="J299" s="68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  <c r="GJ299" s="21"/>
      <c r="GK299" s="21"/>
      <c r="GL299" s="21"/>
      <c r="GM299" s="21"/>
      <c r="GN299" s="21"/>
      <c r="GO299" s="21"/>
      <c r="GP299" s="21"/>
      <c r="GQ299" s="21"/>
      <c r="GR299" s="21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</row>
    <row r="300" spans="1:237">
      <c r="A300" s="77"/>
      <c r="B300" s="77"/>
      <c r="C300" s="77"/>
      <c r="D300" s="77"/>
      <c r="E300" s="77"/>
      <c r="F300" s="77"/>
      <c r="G300" s="77"/>
      <c r="H300" s="77"/>
      <c r="I300" s="77"/>
      <c r="J300" s="68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  <c r="GJ300" s="21"/>
      <c r="GK300" s="21"/>
      <c r="GL300" s="21"/>
      <c r="GM300" s="21"/>
      <c r="GN300" s="21"/>
      <c r="GO300" s="21"/>
      <c r="GP300" s="21"/>
      <c r="GQ300" s="21"/>
      <c r="GR300" s="21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</row>
    <row r="301" spans="1:237">
      <c r="A301" s="77"/>
      <c r="B301" s="77"/>
      <c r="C301" s="77"/>
      <c r="D301" s="77"/>
      <c r="E301" s="77"/>
      <c r="F301" s="77"/>
      <c r="G301" s="77"/>
      <c r="H301" s="77"/>
      <c r="I301" s="77"/>
      <c r="J301" s="68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  <c r="GJ301" s="21"/>
      <c r="GK301" s="21"/>
      <c r="GL301" s="21"/>
      <c r="GM301" s="21"/>
      <c r="GN301" s="21"/>
      <c r="GO301" s="21"/>
      <c r="GP301" s="21"/>
      <c r="GQ301" s="21"/>
      <c r="GR301" s="21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</row>
    <row r="302" spans="1:237">
      <c r="A302" s="77"/>
      <c r="B302" s="77"/>
      <c r="C302" s="77"/>
      <c r="D302" s="77"/>
      <c r="E302" s="77"/>
      <c r="F302" s="77"/>
      <c r="G302" s="77"/>
      <c r="H302" s="77"/>
      <c r="I302" s="77"/>
      <c r="J302" s="68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/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</row>
    <row r="303" spans="1:237">
      <c r="A303" s="77"/>
      <c r="B303" s="77"/>
      <c r="C303" s="77"/>
      <c r="D303" s="77"/>
      <c r="E303" s="77"/>
      <c r="F303" s="77"/>
      <c r="G303" s="77"/>
      <c r="H303" s="77"/>
      <c r="I303" s="77"/>
      <c r="J303" s="68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  <c r="GJ303" s="21"/>
      <c r="GK303" s="21"/>
      <c r="GL303" s="21"/>
      <c r="GM303" s="21"/>
      <c r="GN303" s="21"/>
      <c r="GO303" s="21"/>
      <c r="GP303" s="21"/>
      <c r="GQ303" s="21"/>
      <c r="GR303" s="21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</row>
    <row r="304" spans="1:237">
      <c r="A304" s="77"/>
      <c r="B304" s="77"/>
      <c r="C304" s="77"/>
      <c r="D304" s="77"/>
      <c r="E304" s="77"/>
      <c r="F304" s="77"/>
      <c r="G304" s="77"/>
      <c r="H304" s="77"/>
      <c r="I304" s="77"/>
      <c r="J304" s="68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/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  <c r="GJ304" s="21"/>
      <c r="GK304" s="21"/>
      <c r="GL304" s="21"/>
      <c r="GM304" s="21"/>
      <c r="GN304" s="21"/>
      <c r="GO304" s="21"/>
      <c r="GP304" s="21"/>
      <c r="GQ304" s="21"/>
      <c r="GR304" s="21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</row>
    <row r="305" spans="1:237">
      <c r="A305" s="77"/>
      <c r="B305" s="77"/>
      <c r="C305" s="77"/>
      <c r="D305" s="77"/>
      <c r="E305" s="77"/>
      <c r="F305" s="77"/>
      <c r="G305" s="77"/>
      <c r="H305" s="77"/>
      <c r="I305" s="77"/>
      <c r="J305" s="68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  <c r="GJ305" s="21"/>
      <c r="GK305" s="21"/>
      <c r="GL305" s="21"/>
      <c r="GM305" s="21"/>
      <c r="GN305" s="21"/>
      <c r="GO305" s="21"/>
      <c r="GP305" s="21"/>
      <c r="GQ305" s="21"/>
      <c r="GR305" s="21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</row>
    <row r="306" spans="1:237">
      <c r="A306" s="77"/>
      <c r="B306" s="77"/>
      <c r="C306" s="77"/>
      <c r="D306" s="77"/>
      <c r="E306" s="77"/>
      <c r="F306" s="77"/>
      <c r="G306" s="77"/>
      <c r="H306" s="77"/>
      <c r="I306" s="77"/>
      <c r="J306" s="68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  <c r="GJ306" s="21"/>
      <c r="GK306" s="21"/>
      <c r="GL306" s="21"/>
      <c r="GM306" s="21"/>
      <c r="GN306" s="21"/>
      <c r="GO306" s="21"/>
      <c r="GP306" s="21"/>
      <c r="GQ306" s="21"/>
      <c r="GR306" s="21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</row>
    <row r="307" spans="1:237">
      <c r="A307" s="77"/>
      <c r="B307" s="77"/>
      <c r="C307" s="77"/>
      <c r="D307" s="77"/>
      <c r="E307" s="77"/>
      <c r="F307" s="77"/>
      <c r="G307" s="77"/>
      <c r="H307" s="77"/>
      <c r="I307" s="77"/>
      <c r="J307" s="68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  <c r="GJ307" s="21"/>
      <c r="GK307" s="21"/>
      <c r="GL307" s="21"/>
      <c r="GM307" s="21"/>
      <c r="GN307" s="21"/>
      <c r="GO307" s="21"/>
      <c r="GP307" s="21"/>
      <c r="GQ307" s="21"/>
      <c r="GR307" s="21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</row>
    <row r="308" spans="1:237">
      <c r="A308" s="77"/>
      <c r="B308" s="77"/>
      <c r="C308" s="77"/>
      <c r="D308" s="77"/>
      <c r="E308" s="77"/>
      <c r="F308" s="77"/>
      <c r="G308" s="77"/>
      <c r="H308" s="77"/>
      <c r="I308" s="77"/>
      <c r="J308" s="68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</row>
    <row r="309" spans="1:237">
      <c r="A309" s="77"/>
      <c r="B309" s="77"/>
      <c r="C309" s="77"/>
      <c r="D309" s="77"/>
      <c r="E309" s="77"/>
      <c r="F309" s="77"/>
      <c r="G309" s="77"/>
      <c r="H309" s="77"/>
      <c r="I309" s="77"/>
      <c r="J309" s="68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</row>
    <row r="310" spans="1:237">
      <c r="A310" s="77"/>
      <c r="B310" s="77"/>
      <c r="C310" s="77"/>
      <c r="D310" s="77"/>
      <c r="E310" s="77"/>
      <c r="F310" s="77"/>
      <c r="G310" s="77"/>
      <c r="H310" s="77"/>
      <c r="I310" s="77"/>
      <c r="J310" s="68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</row>
    <row r="311" spans="1:237">
      <c r="A311" s="77"/>
      <c r="B311" s="77"/>
      <c r="C311" s="77"/>
      <c r="D311" s="77"/>
      <c r="E311" s="77"/>
      <c r="F311" s="77"/>
      <c r="G311" s="77"/>
      <c r="H311" s="77"/>
      <c r="I311" s="77"/>
      <c r="J311" s="68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</row>
    <row r="312" spans="1:237">
      <c r="A312" s="77"/>
      <c r="B312" s="77"/>
      <c r="C312" s="77"/>
      <c r="D312" s="77"/>
      <c r="E312" s="77"/>
      <c r="F312" s="77"/>
      <c r="G312" s="77"/>
      <c r="H312" s="77"/>
      <c r="I312" s="77"/>
      <c r="J312" s="68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</row>
    <row r="313" spans="1:237">
      <c r="A313" s="77"/>
      <c r="B313" s="77"/>
      <c r="C313" s="77"/>
      <c r="D313" s="77"/>
      <c r="E313" s="77"/>
      <c r="F313" s="77"/>
      <c r="G313" s="77"/>
      <c r="H313" s="77"/>
      <c r="I313" s="77"/>
      <c r="J313" s="68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</row>
    <row r="314" spans="1:237">
      <c r="A314" s="77"/>
      <c r="B314" s="77"/>
      <c r="C314" s="77"/>
      <c r="D314" s="77"/>
      <c r="E314" s="77"/>
      <c r="F314" s="77"/>
      <c r="G314" s="77"/>
      <c r="H314" s="77"/>
      <c r="I314" s="77"/>
      <c r="J314" s="68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</row>
    <row r="315" spans="1:237">
      <c r="A315" s="77"/>
      <c r="B315" s="77"/>
      <c r="C315" s="77"/>
      <c r="D315" s="77"/>
      <c r="E315" s="77"/>
      <c r="F315" s="77"/>
      <c r="G315" s="77"/>
      <c r="H315" s="77"/>
      <c r="I315" s="77"/>
      <c r="J315" s="68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</row>
    <row r="316" spans="1:237">
      <c r="A316" s="77"/>
      <c r="B316" s="77"/>
      <c r="C316" s="77"/>
      <c r="D316" s="77"/>
      <c r="E316" s="77"/>
      <c r="F316" s="77"/>
      <c r="G316" s="77"/>
      <c r="H316" s="77"/>
      <c r="I316" s="77"/>
      <c r="J316" s="68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</row>
    <row r="317" spans="1:237">
      <c r="A317" s="77"/>
      <c r="B317" s="77"/>
      <c r="C317" s="77"/>
      <c r="D317" s="77"/>
      <c r="E317" s="77"/>
      <c r="F317" s="77"/>
      <c r="G317" s="77"/>
      <c r="H317" s="77"/>
      <c r="I317" s="77"/>
      <c r="J317" s="68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</row>
    <row r="318" spans="1:237">
      <c r="A318" s="77"/>
      <c r="B318" s="77"/>
      <c r="C318" s="77"/>
      <c r="D318" s="77"/>
      <c r="E318" s="77"/>
      <c r="F318" s="77"/>
      <c r="G318" s="77"/>
      <c r="H318" s="77"/>
      <c r="I318" s="77"/>
      <c r="J318" s="68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</row>
    <row r="319" spans="1:237">
      <c r="A319" s="77"/>
      <c r="B319" s="77"/>
      <c r="C319" s="77"/>
      <c r="D319" s="77"/>
      <c r="E319" s="77"/>
      <c r="F319" s="77"/>
      <c r="G319" s="77"/>
      <c r="H319" s="77"/>
      <c r="I319" s="77"/>
      <c r="J319" s="68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</row>
    <row r="320" spans="1:237">
      <c r="A320" s="77"/>
      <c r="B320" s="77"/>
      <c r="C320" s="77"/>
      <c r="D320" s="77"/>
      <c r="E320" s="77"/>
      <c r="F320" s="77"/>
      <c r="G320" s="77"/>
      <c r="H320" s="77"/>
      <c r="I320" s="77"/>
      <c r="J320" s="68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</row>
    <row r="321" spans="1:237">
      <c r="A321" s="77"/>
      <c r="B321" s="77"/>
      <c r="C321" s="77"/>
      <c r="D321" s="77"/>
      <c r="E321" s="77"/>
      <c r="F321" s="77"/>
      <c r="G321" s="77"/>
      <c r="H321" s="77"/>
      <c r="I321" s="77"/>
      <c r="J321" s="68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</row>
    <row r="322" spans="1:237">
      <c r="A322" s="77"/>
      <c r="B322" s="77"/>
      <c r="C322" s="77"/>
      <c r="D322" s="77"/>
      <c r="E322" s="77"/>
      <c r="F322" s="77"/>
      <c r="G322" s="77"/>
      <c r="H322" s="77"/>
      <c r="I322" s="77"/>
      <c r="J322" s="68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</row>
    <row r="323" spans="1:237">
      <c r="A323" s="77"/>
      <c r="B323" s="77"/>
      <c r="C323" s="77"/>
      <c r="D323" s="77"/>
      <c r="E323" s="77"/>
      <c r="F323" s="77"/>
      <c r="G323" s="77"/>
      <c r="H323" s="77"/>
      <c r="I323" s="77"/>
      <c r="J323" s="68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</row>
    <row r="324" spans="1:237">
      <c r="A324" s="77"/>
      <c r="B324" s="77"/>
      <c r="C324" s="77"/>
      <c r="D324" s="77"/>
      <c r="E324" s="77"/>
      <c r="F324" s="77"/>
      <c r="G324" s="77"/>
      <c r="H324" s="77"/>
      <c r="I324" s="77"/>
      <c r="J324" s="68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</row>
    <row r="325" spans="1:237">
      <c r="A325" s="77"/>
      <c r="B325" s="77"/>
      <c r="C325" s="77"/>
      <c r="D325" s="77"/>
      <c r="E325" s="77"/>
      <c r="F325" s="77"/>
      <c r="G325" s="77"/>
      <c r="H325" s="77"/>
      <c r="I325" s="77"/>
      <c r="J325" s="68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</row>
    <row r="326" spans="1:237">
      <c r="A326" s="77"/>
      <c r="B326" s="77"/>
      <c r="C326" s="77"/>
      <c r="D326" s="77"/>
      <c r="E326" s="77"/>
      <c r="F326" s="77"/>
      <c r="G326" s="77"/>
      <c r="H326" s="77"/>
      <c r="I326" s="77"/>
      <c r="J326" s="68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</row>
    <row r="327" spans="1:237">
      <c r="A327" s="77"/>
      <c r="B327" s="77"/>
      <c r="C327" s="77"/>
      <c r="D327" s="77"/>
      <c r="E327" s="77"/>
      <c r="F327" s="77"/>
      <c r="G327" s="77"/>
      <c r="H327" s="77"/>
      <c r="I327" s="77"/>
      <c r="J327" s="68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</row>
    <row r="328" spans="1:237">
      <c r="A328" s="77"/>
      <c r="B328" s="77"/>
      <c r="C328" s="77"/>
      <c r="D328" s="77"/>
      <c r="E328" s="77"/>
      <c r="F328" s="77"/>
      <c r="G328" s="77"/>
      <c r="H328" s="77"/>
      <c r="I328" s="77"/>
      <c r="J328" s="68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</row>
    <row r="329" spans="1:237">
      <c r="A329" s="77"/>
      <c r="B329" s="77"/>
      <c r="C329" s="77"/>
      <c r="D329" s="77"/>
      <c r="E329" s="77"/>
      <c r="F329" s="77"/>
      <c r="G329" s="77"/>
      <c r="H329" s="77"/>
      <c r="I329" s="77"/>
      <c r="J329" s="68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</row>
    <row r="330" spans="1:237">
      <c r="A330" s="77"/>
      <c r="B330" s="77"/>
      <c r="C330" s="77"/>
      <c r="D330" s="77"/>
      <c r="E330" s="77"/>
      <c r="F330" s="77"/>
      <c r="G330" s="77"/>
      <c r="H330" s="77"/>
      <c r="I330" s="77"/>
      <c r="J330" s="68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</row>
    <row r="331" spans="1:237">
      <c r="A331" s="77"/>
      <c r="B331" s="77"/>
      <c r="C331" s="77"/>
      <c r="D331" s="77"/>
      <c r="E331" s="77"/>
      <c r="F331" s="77"/>
      <c r="G331" s="77"/>
      <c r="H331" s="77"/>
      <c r="I331" s="77"/>
      <c r="J331" s="68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</row>
    <row r="332" spans="1:237">
      <c r="A332" s="77"/>
      <c r="B332" s="77"/>
      <c r="C332" s="77"/>
      <c r="D332" s="77"/>
      <c r="E332" s="77"/>
      <c r="F332" s="77"/>
      <c r="G332" s="77"/>
      <c r="H332" s="77"/>
      <c r="I332" s="77"/>
      <c r="J332" s="68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</row>
    <row r="333" spans="1:237">
      <c r="A333" s="77"/>
      <c r="B333" s="77"/>
      <c r="C333" s="77"/>
      <c r="D333" s="77"/>
      <c r="E333" s="77"/>
      <c r="F333" s="77"/>
      <c r="G333" s="77"/>
      <c r="H333" s="77"/>
      <c r="I333" s="77"/>
      <c r="J333" s="68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</row>
    <row r="334" spans="1:237">
      <c r="A334" s="77"/>
      <c r="B334" s="77"/>
      <c r="C334" s="77"/>
      <c r="D334" s="77"/>
      <c r="E334" s="77"/>
      <c r="F334" s="77"/>
      <c r="G334" s="77"/>
      <c r="H334" s="77"/>
      <c r="I334" s="77"/>
      <c r="J334" s="68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</row>
    <row r="335" spans="1:237">
      <c r="A335" s="77"/>
      <c r="B335" s="77"/>
      <c r="C335" s="77"/>
      <c r="D335" s="77"/>
      <c r="E335" s="77"/>
      <c r="F335" s="77"/>
      <c r="G335" s="77"/>
      <c r="H335" s="77"/>
      <c r="I335" s="77"/>
      <c r="J335" s="68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</row>
    <row r="336" spans="1:237">
      <c r="A336" s="77"/>
      <c r="B336" s="77"/>
      <c r="C336" s="77"/>
      <c r="D336" s="77"/>
      <c r="E336" s="77"/>
      <c r="F336" s="77"/>
      <c r="G336" s="77"/>
      <c r="H336" s="77"/>
      <c r="I336" s="77"/>
      <c r="J336" s="68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</row>
    <row r="337" spans="1:237">
      <c r="A337" s="77"/>
      <c r="B337" s="77"/>
      <c r="C337" s="77"/>
      <c r="D337" s="77"/>
      <c r="E337" s="77"/>
      <c r="F337" s="77"/>
      <c r="G337" s="77"/>
      <c r="H337" s="77"/>
      <c r="I337" s="77"/>
      <c r="J337" s="68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</row>
    <row r="338" spans="1:237">
      <c r="A338" s="77"/>
      <c r="B338" s="77"/>
      <c r="C338" s="77"/>
      <c r="D338" s="77"/>
      <c r="E338" s="77"/>
      <c r="F338" s="77"/>
      <c r="G338" s="77"/>
      <c r="H338" s="77"/>
      <c r="I338" s="77"/>
      <c r="J338" s="68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</row>
    <row r="339" spans="1:237">
      <c r="A339" s="77"/>
      <c r="B339" s="77"/>
      <c r="C339" s="77"/>
      <c r="D339" s="77"/>
      <c r="E339" s="77"/>
      <c r="F339" s="77"/>
      <c r="G339" s="77"/>
      <c r="H339" s="77"/>
      <c r="I339" s="77"/>
      <c r="J339" s="68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</row>
    <row r="340" spans="1:237">
      <c r="A340" s="77"/>
      <c r="B340" s="77"/>
      <c r="C340" s="77"/>
      <c r="D340" s="77"/>
      <c r="E340" s="77"/>
      <c r="F340" s="77"/>
      <c r="G340" s="77"/>
      <c r="H340" s="77"/>
      <c r="I340" s="77"/>
      <c r="J340" s="68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</row>
    <row r="341" spans="1:237">
      <c r="A341" s="77"/>
      <c r="B341" s="77"/>
      <c r="C341" s="77"/>
      <c r="D341" s="77"/>
      <c r="E341" s="77"/>
      <c r="F341" s="77"/>
      <c r="G341" s="77"/>
      <c r="H341" s="77"/>
      <c r="I341" s="77"/>
      <c r="J341" s="68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</row>
    <row r="342" spans="1:237">
      <c r="A342" s="77"/>
      <c r="B342" s="77"/>
      <c r="C342" s="77"/>
      <c r="D342" s="77"/>
      <c r="E342" s="77"/>
      <c r="F342" s="77"/>
      <c r="G342" s="77"/>
      <c r="H342" s="77"/>
      <c r="I342" s="77"/>
      <c r="J342" s="68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</row>
    <row r="343" spans="1:237">
      <c r="A343" s="77"/>
      <c r="B343" s="77"/>
      <c r="C343" s="77"/>
      <c r="D343" s="77"/>
      <c r="E343" s="77"/>
      <c r="F343" s="77"/>
      <c r="G343" s="77"/>
      <c r="H343" s="77"/>
      <c r="I343" s="77"/>
      <c r="J343" s="68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</row>
    <row r="344" spans="1:237">
      <c r="A344" s="77"/>
      <c r="B344" s="77"/>
      <c r="C344" s="77"/>
      <c r="D344" s="77"/>
      <c r="E344" s="77"/>
      <c r="F344" s="77"/>
      <c r="G344" s="77"/>
      <c r="H344" s="77"/>
      <c r="I344" s="77"/>
      <c r="J344" s="68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</row>
    <row r="345" spans="1:237">
      <c r="A345" s="77"/>
      <c r="B345" s="77"/>
      <c r="C345" s="77"/>
      <c r="D345" s="77"/>
      <c r="E345" s="77"/>
      <c r="F345" s="77"/>
      <c r="G345" s="77"/>
      <c r="H345" s="77"/>
      <c r="I345" s="77"/>
      <c r="J345" s="68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</row>
    <row r="346" spans="1:237">
      <c r="A346" s="77"/>
      <c r="B346" s="77"/>
      <c r="C346" s="77"/>
      <c r="D346" s="77"/>
      <c r="E346" s="77"/>
      <c r="F346" s="77"/>
      <c r="G346" s="77"/>
      <c r="H346" s="77"/>
      <c r="I346" s="77"/>
      <c r="J346" s="68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</row>
    <row r="347" spans="1:237">
      <c r="A347" s="77"/>
      <c r="B347" s="77"/>
      <c r="C347" s="77"/>
      <c r="D347" s="77"/>
      <c r="E347" s="77"/>
      <c r="F347" s="77"/>
      <c r="G347" s="77"/>
      <c r="H347" s="77"/>
      <c r="I347" s="77"/>
      <c r="J347" s="68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</row>
    <row r="348" spans="1:237">
      <c r="A348" s="77"/>
      <c r="B348" s="77"/>
      <c r="C348" s="77"/>
      <c r="D348" s="77"/>
      <c r="E348" s="77"/>
      <c r="F348" s="77"/>
      <c r="G348" s="77"/>
      <c r="H348" s="77"/>
      <c r="I348" s="77"/>
      <c r="J348" s="68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</row>
    <row r="349" spans="1:237">
      <c r="A349" s="77"/>
      <c r="B349" s="77"/>
      <c r="C349" s="77"/>
      <c r="D349" s="77"/>
      <c r="E349" s="77"/>
      <c r="F349" s="77"/>
      <c r="G349" s="77"/>
      <c r="H349" s="77"/>
      <c r="I349" s="77"/>
      <c r="J349" s="68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</row>
    <row r="350" spans="1:237">
      <c r="A350" s="77"/>
      <c r="B350" s="77"/>
      <c r="C350" s="77"/>
      <c r="D350" s="77"/>
      <c r="E350" s="77"/>
      <c r="F350" s="77"/>
      <c r="G350" s="77"/>
      <c r="H350" s="77"/>
      <c r="I350" s="77"/>
      <c r="J350" s="68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</row>
    <row r="351" spans="1:237">
      <c r="A351" s="77"/>
      <c r="B351" s="77"/>
      <c r="C351" s="77"/>
      <c r="D351" s="77"/>
      <c r="E351" s="77"/>
      <c r="F351" s="77"/>
      <c r="G351" s="77"/>
      <c r="H351" s="77"/>
      <c r="I351" s="77"/>
      <c r="J351" s="68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</row>
    <row r="352" spans="1:237">
      <c r="A352" s="77"/>
      <c r="B352" s="77"/>
      <c r="C352" s="77"/>
      <c r="D352" s="77"/>
      <c r="E352" s="77"/>
      <c r="F352" s="77"/>
      <c r="G352" s="77"/>
      <c r="H352" s="77"/>
      <c r="I352" s="77"/>
      <c r="J352" s="68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</row>
    <row r="353" spans="1:237">
      <c r="A353" s="77"/>
      <c r="B353" s="77"/>
      <c r="C353" s="77"/>
      <c r="D353" s="77"/>
      <c r="E353" s="77"/>
      <c r="F353" s="77"/>
      <c r="G353" s="77"/>
      <c r="H353" s="77"/>
      <c r="I353" s="77"/>
      <c r="J353" s="68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</row>
    <row r="354" spans="1:237">
      <c r="A354" s="77"/>
      <c r="B354" s="77"/>
      <c r="C354" s="77"/>
      <c r="D354" s="77"/>
      <c r="E354" s="77"/>
      <c r="F354" s="77"/>
      <c r="G354" s="77"/>
      <c r="H354" s="77"/>
      <c r="I354" s="77"/>
      <c r="J354" s="68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</row>
    <row r="355" spans="1:237">
      <c r="A355" s="77"/>
      <c r="B355" s="77"/>
      <c r="C355" s="77"/>
      <c r="D355" s="77"/>
      <c r="E355" s="77"/>
      <c r="F355" s="77"/>
      <c r="G355" s="77"/>
      <c r="H355" s="77"/>
      <c r="I355" s="77"/>
      <c r="J355" s="68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</row>
    <row r="356" spans="1:237">
      <c r="A356" s="77"/>
      <c r="B356" s="77"/>
      <c r="C356" s="77"/>
      <c r="D356" s="77"/>
      <c r="E356" s="77"/>
      <c r="F356" s="77"/>
      <c r="G356" s="77"/>
      <c r="H356" s="77"/>
      <c r="I356" s="77"/>
      <c r="J356" s="68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</row>
    <row r="357" spans="1:237">
      <c r="A357" s="77"/>
      <c r="B357" s="77"/>
      <c r="C357" s="77"/>
      <c r="D357" s="77"/>
      <c r="E357" s="77"/>
      <c r="F357" s="77"/>
      <c r="G357" s="77"/>
      <c r="H357" s="77"/>
      <c r="I357" s="77"/>
      <c r="J357" s="68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</row>
    <row r="358" spans="1:237">
      <c r="A358" s="77"/>
      <c r="B358" s="77"/>
      <c r="C358" s="77"/>
      <c r="D358" s="77"/>
      <c r="E358" s="77"/>
      <c r="F358" s="77"/>
      <c r="G358" s="77"/>
      <c r="H358" s="77"/>
      <c r="I358" s="77"/>
      <c r="J358" s="68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</row>
    <row r="359" spans="1:237">
      <c r="A359" s="77"/>
      <c r="B359" s="77"/>
      <c r="C359" s="77"/>
      <c r="D359" s="77"/>
      <c r="E359" s="77"/>
      <c r="F359" s="77"/>
      <c r="G359" s="77"/>
      <c r="H359" s="77"/>
      <c r="I359" s="77"/>
      <c r="J359" s="68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</row>
    <row r="360" spans="1:237">
      <c r="A360" s="77"/>
      <c r="B360" s="77"/>
      <c r="C360" s="77"/>
      <c r="D360" s="77"/>
      <c r="E360" s="77"/>
      <c r="F360" s="77"/>
      <c r="G360" s="77"/>
      <c r="H360" s="77"/>
      <c r="I360" s="77"/>
      <c r="J360" s="68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</row>
    <row r="361" spans="1:237">
      <c r="A361" s="77"/>
      <c r="B361" s="77"/>
      <c r="C361" s="77"/>
      <c r="D361" s="77"/>
      <c r="E361" s="77"/>
      <c r="F361" s="77"/>
      <c r="G361" s="77"/>
      <c r="H361" s="77"/>
      <c r="I361" s="77"/>
      <c r="J361" s="68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</row>
    <row r="362" spans="1:237">
      <c r="A362" s="77"/>
      <c r="B362" s="77"/>
      <c r="C362" s="77"/>
      <c r="D362" s="77"/>
      <c r="E362" s="77"/>
      <c r="F362" s="77"/>
      <c r="G362" s="77"/>
      <c r="H362" s="77"/>
      <c r="I362" s="77"/>
      <c r="J362" s="68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</row>
    <row r="363" spans="1:237">
      <c r="A363" s="77"/>
      <c r="B363" s="77"/>
      <c r="C363" s="77"/>
      <c r="D363" s="77"/>
      <c r="E363" s="77"/>
      <c r="F363" s="77"/>
      <c r="G363" s="77"/>
      <c r="H363" s="77"/>
      <c r="I363" s="77"/>
      <c r="J363" s="68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</row>
    <row r="364" spans="1:237">
      <c r="A364" s="77"/>
      <c r="B364" s="77"/>
      <c r="C364" s="77"/>
      <c r="D364" s="77"/>
      <c r="E364" s="77"/>
      <c r="F364" s="77"/>
      <c r="G364" s="77"/>
      <c r="H364" s="77"/>
      <c r="I364" s="77"/>
      <c r="J364" s="68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</row>
    <row r="365" spans="1:237">
      <c r="A365" s="77"/>
      <c r="B365" s="77"/>
      <c r="C365" s="77"/>
      <c r="D365" s="77"/>
      <c r="E365" s="77"/>
      <c r="F365" s="77"/>
      <c r="G365" s="77"/>
      <c r="H365" s="77"/>
      <c r="I365" s="77"/>
      <c r="J365" s="68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</row>
    <row r="366" spans="1:237">
      <c r="A366" s="77"/>
      <c r="B366" s="77"/>
      <c r="C366" s="77"/>
      <c r="D366" s="77"/>
      <c r="E366" s="77"/>
      <c r="F366" s="77"/>
      <c r="G366" s="77"/>
      <c r="H366" s="77"/>
      <c r="I366" s="77"/>
      <c r="J366" s="68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</row>
    <row r="367" spans="1:237">
      <c r="A367" s="77"/>
      <c r="B367" s="77"/>
      <c r="C367" s="77"/>
      <c r="D367" s="77"/>
      <c r="E367" s="77"/>
      <c r="F367" s="77"/>
      <c r="G367" s="77"/>
      <c r="H367" s="77"/>
      <c r="I367" s="77"/>
      <c r="J367" s="68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</row>
    <row r="368" spans="1:237">
      <c r="A368" s="77"/>
      <c r="B368" s="77"/>
      <c r="C368" s="77"/>
      <c r="D368" s="77"/>
      <c r="E368" s="77"/>
      <c r="F368" s="77"/>
      <c r="G368" s="77"/>
      <c r="H368" s="77"/>
      <c r="I368" s="77"/>
      <c r="J368" s="68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</row>
    <row r="369" spans="1:237">
      <c r="A369" s="77"/>
      <c r="B369" s="77"/>
      <c r="C369" s="77"/>
      <c r="D369" s="77"/>
      <c r="E369" s="77"/>
      <c r="F369" s="77"/>
      <c r="G369" s="77"/>
      <c r="H369" s="77"/>
      <c r="I369" s="77"/>
      <c r="J369" s="68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</row>
    <row r="370" spans="1:237">
      <c r="A370" s="77"/>
      <c r="B370" s="77"/>
      <c r="C370" s="77"/>
      <c r="D370" s="77"/>
      <c r="E370" s="77"/>
      <c r="F370" s="77"/>
      <c r="G370" s="77"/>
      <c r="H370" s="77"/>
      <c r="I370" s="77"/>
      <c r="J370" s="68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</row>
    <row r="371" spans="1:237">
      <c r="A371" s="77"/>
      <c r="B371" s="77"/>
      <c r="C371" s="77"/>
      <c r="D371" s="77"/>
      <c r="E371" s="77"/>
      <c r="F371" s="77"/>
      <c r="G371" s="77"/>
      <c r="H371" s="77"/>
      <c r="I371" s="77"/>
      <c r="J371" s="68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</row>
    <row r="372" spans="1:237">
      <c r="A372" s="77"/>
      <c r="B372" s="77"/>
      <c r="C372" s="77"/>
      <c r="D372" s="77"/>
      <c r="E372" s="77"/>
      <c r="F372" s="77"/>
      <c r="G372" s="77"/>
      <c r="H372" s="77"/>
      <c r="I372" s="77"/>
      <c r="J372" s="68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</row>
    <row r="373" spans="1:237">
      <c r="A373" s="77"/>
      <c r="B373" s="77"/>
      <c r="C373" s="77"/>
      <c r="D373" s="77"/>
      <c r="E373" s="77"/>
      <c r="F373" s="77"/>
      <c r="G373" s="77"/>
      <c r="H373" s="77"/>
      <c r="I373" s="77"/>
      <c r="J373" s="68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</row>
    <row r="374" spans="1:237">
      <c r="A374" s="77"/>
      <c r="B374" s="77"/>
      <c r="C374" s="77"/>
      <c r="D374" s="77"/>
      <c r="E374" s="77"/>
      <c r="F374" s="77"/>
      <c r="G374" s="77"/>
      <c r="H374" s="77"/>
      <c r="I374" s="77"/>
      <c r="J374" s="68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</row>
    <row r="375" spans="1:237">
      <c r="A375" s="77"/>
      <c r="B375" s="77"/>
      <c r="C375" s="77"/>
      <c r="D375" s="77"/>
      <c r="E375" s="77"/>
      <c r="F375" s="77"/>
      <c r="G375" s="77"/>
      <c r="H375" s="77"/>
      <c r="I375" s="77"/>
      <c r="J375" s="68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</row>
    <row r="376" spans="1:237">
      <c r="A376" s="77"/>
      <c r="B376" s="77"/>
      <c r="C376" s="77"/>
      <c r="D376" s="77"/>
      <c r="E376" s="77"/>
      <c r="F376" s="77"/>
      <c r="G376" s="77"/>
      <c r="H376" s="77"/>
      <c r="I376" s="77"/>
      <c r="J376" s="68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</row>
    <row r="377" spans="1:237">
      <c r="A377" s="77"/>
      <c r="B377" s="77"/>
      <c r="C377" s="77"/>
      <c r="D377" s="77"/>
      <c r="E377" s="77"/>
      <c r="F377" s="77"/>
      <c r="G377" s="77"/>
      <c r="H377" s="77"/>
      <c r="I377" s="77"/>
      <c r="J377" s="68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</row>
    <row r="378" spans="1:237">
      <c r="A378" s="77"/>
      <c r="B378" s="77"/>
      <c r="C378" s="77"/>
      <c r="D378" s="77"/>
      <c r="E378" s="77"/>
      <c r="F378" s="77"/>
      <c r="G378" s="77"/>
      <c r="H378" s="77"/>
      <c r="I378" s="77"/>
      <c r="J378" s="68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</row>
    <row r="379" spans="1:237">
      <c r="A379" s="77"/>
      <c r="B379" s="77"/>
      <c r="C379" s="77"/>
      <c r="D379" s="77"/>
      <c r="E379" s="77"/>
      <c r="F379" s="77"/>
      <c r="G379" s="77"/>
      <c r="H379" s="77"/>
      <c r="I379" s="77"/>
      <c r="J379" s="68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</row>
    <row r="380" spans="1:237">
      <c r="A380" s="77"/>
      <c r="B380" s="77"/>
      <c r="C380" s="77"/>
      <c r="D380" s="77"/>
      <c r="E380" s="77"/>
      <c r="F380" s="77"/>
      <c r="G380" s="77"/>
      <c r="H380" s="77"/>
      <c r="I380" s="77"/>
      <c r="J380" s="68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</row>
    <row r="381" spans="1:237">
      <c r="A381" s="77"/>
      <c r="B381" s="77"/>
      <c r="C381" s="77"/>
      <c r="D381" s="77"/>
      <c r="E381" s="77"/>
      <c r="F381" s="77"/>
      <c r="G381" s="77"/>
      <c r="H381" s="77"/>
      <c r="I381" s="77"/>
      <c r="J381" s="68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</row>
    <row r="382" spans="1:237">
      <c r="A382" s="77"/>
      <c r="B382" s="77"/>
      <c r="C382" s="77"/>
      <c r="D382" s="77"/>
      <c r="E382" s="77"/>
      <c r="F382" s="77"/>
      <c r="G382" s="77"/>
      <c r="H382" s="77"/>
      <c r="I382" s="77"/>
      <c r="J382" s="68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</row>
    <row r="383" spans="1:237">
      <c r="A383" s="77"/>
      <c r="B383" s="77"/>
      <c r="C383" s="77"/>
      <c r="D383" s="77"/>
      <c r="E383" s="77"/>
      <c r="F383" s="77"/>
      <c r="G383" s="77"/>
      <c r="H383" s="77"/>
      <c r="I383" s="77"/>
      <c r="J383" s="68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</row>
    <row r="384" spans="1:237">
      <c r="A384" s="77"/>
      <c r="B384" s="77"/>
      <c r="C384" s="77"/>
      <c r="D384" s="77"/>
      <c r="E384" s="77"/>
      <c r="F384" s="77"/>
      <c r="G384" s="77"/>
      <c r="H384" s="77"/>
      <c r="I384" s="77"/>
      <c r="J384" s="68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</row>
    <row r="385" spans="1:237">
      <c r="A385" s="77"/>
      <c r="B385" s="77"/>
      <c r="C385" s="77"/>
      <c r="D385" s="77"/>
      <c r="E385" s="77"/>
      <c r="F385" s="77"/>
      <c r="G385" s="77"/>
      <c r="H385" s="77"/>
      <c r="I385" s="77"/>
      <c r="J385" s="68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</row>
    <row r="386" spans="1:237">
      <c r="A386" s="77"/>
      <c r="B386" s="77"/>
      <c r="C386" s="77"/>
      <c r="D386" s="77"/>
      <c r="E386" s="77"/>
      <c r="F386" s="77"/>
      <c r="G386" s="77"/>
      <c r="H386" s="77"/>
      <c r="I386" s="77"/>
      <c r="J386" s="68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</row>
    <row r="387" spans="1:237">
      <c r="A387" s="77"/>
      <c r="B387" s="77"/>
      <c r="C387" s="77"/>
      <c r="D387" s="77"/>
      <c r="E387" s="77"/>
      <c r="F387" s="77"/>
      <c r="G387" s="77"/>
      <c r="H387" s="77"/>
      <c r="I387" s="77"/>
      <c r="J387" s="68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</row>
    <row r="388" spans="1:237">
      <c r="A388" s="77"/>
      <c r="B388" s="77"/>
      <c r="C388" s="77"/>
      <c r="D388" s="77"/>
      <c r="E388" s="77"/>
      <c r="F388" s="77"/>
      <c r="G388" s="77"/>
      <c r="H388" s="77"/>
      <c r="I388" s="77"/>
      <c r="J388" s="68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</row>
    <row r="389" spans="1:237">
      <c r="A389" s="77"/>
      <c r="B389" s="77"/>
      <c r="C389" s="77"/>
      <c r="D389" s="77"/>
      <c r="E389" s="77"/>
      <c r="F389" s="77"/>
      <c r="G389" s="77"/>
      <c r="H389" s="77"/>
      <c r="I389" s="77"/>
      <c r="J389" s="68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</row>
    <row r="390" spans="1:237">
      <c r="A390" s="77"/>
      <c r="B390" s="77"/>
      <c r="C390" s="77"/>
      <c r="D390" s="77"/>
      <c r="E390" s="77"/>
      <c r="F390" s="77"/>
      <c r="G390" s="77"/>
      <c r="H390" s="77"/>
      <c r="I390" s="77"/>
      <c r="J390" s="68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</row>
    <row r="391" spans="1:237">
      <c r="A391" s="77"/>
      <c r="B391" s="77"/>
      <c r="C391" s="77"/>
      <c r="D391" s="77"/>
      <c r="E391" s="77"/>
      <c r="F391" s="77"/>
      <c r="G391" s="77"/>
      <c r="H391" s="77"/>
      <c r="I391" s="77"/>
      <c r="J391" s="68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</row>
    <row r="392" spans="1:237">
      <c r="A392" s="77"/>
      <c r="B392" s="77"/>
      <c r="C392" s="77"/>
      <c r="D392" s="77"/>
      <c r="E392" s="77"/>
      <c r="F392" s="77"/>
      <c r="G392" s="77"/>
      <c r="H392" s="77"/>
      <c r="I392" s="77"/>
      <c r="J392" s="68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</row>
    <row r="393" spans="1:237">
      <c r="A393" s="77"/>
      <c r="B393" s="77"/>
      <c r="C393" s="77"/>
      <c r="D393" s="77"/>
      <c r="E393" s="77"/>
      <c r="F393" s="77"/>
      <c r="G393" s="77"/>
      <c r="H393" s="77"/>
      <c r="I393" s="77"/>
      <c r="J393" s="68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</row>
    <row r="394" spans="1:237">
      <c r="A394" s="77"/>
      <c r="B394" s="77"/>
      <c r="C394" s="77"/>
      <c r="D394" s="77"/>
      <c r="E394" s="77"/>
      <c r="F394" s="77"/>
      <c r="G394" s="77"/>
      <c r="H394" s="77"/>
      <c r="I394" s="77"/>
      <c r="J394" s="68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</row>
    <row r="395" spans="1:237">
      <c r="A395" s="77"/>
      <c r="B395" s="77"/>
      <c r="C395" s="77"/>
      <c r="D395" s="77"/>
      <c r="E395" s="77"/>
      <c r="F395" s="77"/>
      <c r="G395" s="77"/>
      <c r="H395" s="77"/>
      <c r="I395" s="77"/>
      <c r="J395" s="68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</row>
    <row r="396" spans="1:237">
      <c r="A396" s="77"/>
      <c r="B396" s="77"/>
      <c r="C396" s="77"/>
      <c r="D396" s="77"/>
      <c r="E396" s="77"/>
      <c r="F396" s="77"/>
      <c r="G396" s="77"/>
      <c r="H396" s="77"/>
      <c r="I396" s="77"/>
      <c r="J396" s="68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</row>
    <row r="397" spans="1:237">
      <c r="A397" s="77"/>
      <c r="B397" s="77"/>
      <c r="C397" s="77"/>
      <c r="D397" s="77"/>
      <c r="E397" s="77"/>
      <c r="F397" s="77"/>
      <c r="G397" s="77"/>
      <c r="H397" s="77"/>
      <c r="I397" s="77"/>
      <c r="J397" s="68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</row>
    <row r="398" spans="1:237">
      <c r="A398" s="77"/>
      <c r="B398" s="77"/>
      <c r="C398" s="77"/>
      <c r="D398" s="77"/>
      <c r="E398" s="77"/>
      <c r="F398" s="77"/>
      <c r="G398" s="77"/>
      <c r="H398" s="77"/>
      <c r="I398" s="77"/>
      <c r="J398" s="68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</row>
    <row r="399" spans="1:237">
      <c r="A399" s="77"/>
      <c r="B399" s="77"/>
      <c r="C399" s="77"/>
      <c r="D399" s="77"/>
      <c r="E399" s="77"/>
      <c r="F399" s="77"/>
      <c r="G399" s="77"/>
      <c r="H399" s="77"/>
      <c r="I399" s="77"/>
      <c r="J399" s="68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</row>
    <row r="400" spans="1:237">
      <c r="A400" s="77"/>
      <c r="B400" s="77"/>
      <c r="C400" s="77"/>
      <c r="D400" s="77"/>
      <c r="E400" s="77"/>
      <c r="F400" s="77"/>
      <c r="G400" s="77"/>
      <c r="H400" s="77"/>
      <c r="I400" s="77"/>
      <c r="J400" s="68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</row>
    <row r="401" spans="1:237">
      <c r="A401" s="77"/>
      <c r="B401" s="77"/>
      <c r="C401" s="77"/>
      <c r="D401" s="77"/>
      <c r="E401" s="77"/>
      <c r="F401" s="77"/>
      <c r="G401" s="77"/>
      <c r="H401" s="77"/>
      <c r="I401" s="77"/>
      <c r="J401" s="68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</row>
    <row r="402" spans="1:237">
      <c r="A402" s="77"/>
      <c r="B402" s="77"/>
      <c r="C402" s="77"/>
      <c r="D402" s="77"/>
      <c r="E402" s="77"/>
      <c r="F402" s="77"/>
      <c r="G402" s="77"/>
      <c r="H402" s="77"/>
      <c r="I402" s="77"/>
      <c r="J402" s="68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</row>
    <row r="403" spans="1:237">
      <c r="A403" s="77"/>
      <c r="B403" s="77"/>
      <c r="C403" s="77"/>
      <c r="D403" s="77"/>
      <c r="E403" s="77"/>
      <c r="F403" s="77"/>
      <c r="G403" s="77"/>
      <c r="H403" s="77"/>
      <c r="I403" s="77"/>
      <c r="J403" s="68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</row>
    <row r="404" spans="1:237">
      <c r="A404" s="77"/>
      <c r="B404" s="77"/>
      <c r="C404" s="77"/>
      <c r="D404" s="77"/>
      <c r="E404" s="77"/>
      <c r="F404" s="77"/>
      <c r="G404" s="77"/>
      <c r="H404" s="77"/>
      <c r="I404" s="77"/>
      <c r="J404" s="68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</row>
    <row r="405" spans="1:237">
      <c r="A405" s="77"/>
      <c r="B405" s="77"/>
      <c r="C405" s="77"/>
      <c r="D405" s="77"/>
      <c r="E405" s="77"/>
      <c r="F405" s="77"/>
      <c r="G405" s="77"/>
      <c r="H405" s="77"/>
      <c r="I405" s="77"/>
      <c r="J405" s="68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  <c r="DB405" s="21"/>
      <c r="DC405" s="21"/>
      <c r="DD405" s="21"/>
      <c r="DE405" s="21"/>
      <c r="DF405" s="21"/>
      <c r="DG405" s="21"/>
      <c r="DH405" s="21"/>
      <c r="DI405" s="21"/>
      <c r="DJ405" s="21"/>
      <c r="DK405" s="21"/>
      <c r="DL405" s="21"/>
      <c r="DM405" s="21"/>
      <c r="DN405" s="21"/>
      <c r="DO405" s="21"/>
      <c r="DP405" s="21"/>
      <c r="DQ405" s="21"/>
      <c r="DR405" s="21"/>
      <c r="DS405" s="21"/>
      <c r="DT405" s="21"/>
      <c r="DU405" s="21"/>
      <c r="DV405" s="21"/>
      <c r="DW405" s="21"/>
      <c r="DX405" s="21"/>
      <c r="DY405" s="21"/>
      <c r="DZ405" s="21"/>
      <c r="EA405" s="21"/>
      <c r="EB405" s="21"/>
      <c r="EC405" s="21"/>
      <c r="ED405" s="21"/>
      <c r="EE405" s="21"/>
      <c r="EF405" s="21"/>
      <c r="EG405" s="21"/>
      <c r="EH405" s="21"/>
      <c r="EI405" s="21"/>
      <c r="EJ405" s="21"/>
      <c r="EK405" s="21"/>
      <c r="EL405" s="21"/>
      <c r="EM405" s="21"/>
      <c r="EN405" s="21"/>
      <c r="EO405" s="21"/>
      <c r="EP405" s="21"/>
      <c r="EQ405" s="21"/>
      <c r="ER405" s="21"/>
      <c r="ES405" s="21"/>
      <c r="ET405" s="21"/>
      <c r="EU405" s="21"/>
      <c r="EV405" s="21"/>
      <c r="EW405" s="21"/>
      <c r="EX405" s="21"/>
      <c r="EY405" s="21"/>
      <c r="EZ405" s="21"/>
      <c r="FA405" s="21"/>
      <c r="FB405" s="21"/>
      <c r="FC405" s="21"/>
      <c r="FD405" s="21"/>
      <c r="FE405" s="21"/>
      <c r="FF405" s="21"/>
      <c r="FG405" s="21"/>
      <c r="FH405" s="21"/>
      <c r="FI405" s="21"/>
      <c r="FJ405" s="21"/>
      <c r="FK405" s="21"/>
      <c r="FL405" s="21"/>
      <c r="FM405" s="21"/>
      <c r="FN405" s="21"/>
      <c r="FO405" s="21"/>
      <c r="FP405" s="21"/>
      <c r="FQ405" s="21"/>
      <c r="FR405" s="21"/>
      <c r="FS405" s="21"/>
      <c r="FT405" s="21"/>
      <c r="FU405" s="21"/>
      <c r="FV405" s="21"/>
      <c r="FW405" s="21"/>
      <c r="FX405" s="21"/>
      <c r="FY405" s="21"/>
      <c r="FZ405" s="21"/>
      <c r="GA405" s="21"/>
      <c r="GB405" s="21"/>
      <c r="GC405" s="21"/>
      <c r="GD405" s="21"/>
      <c r="GE405" s="21"/>
      <c r="GF405" s="21"/>
      <c r="GG405" s="21"/>
      <c r="GH405" s="21"/>
      <c r="GI405" s="21"/>
      <c r="GJ405" s="21"/>
      <c r="GK405" s="21"/>
      <c r="GL405" s="21"/>
      <c r="GM405" s="21"/>
      <c r="GN405" s="21"/>
      <c r="GO405" s="21"/>
      <c r="GP405" s="21"/>
      <c r="GQ405" s="21"/>
      <c r="GR405" s="21"/>
      <c r="GS405" s="21"/>
      <c r="GT405" s="21"/>
      <c r="GU405" s="21"/>
      <c r="GV405" s="21"/>
      <c r="GW405" s="21"/>
      <c r="GX405" s="21"/>
      <c r="GY405" s="21"/>
      <c r="GZ405" s="21"/>
      <c r="HA405" s="21"/>
      <c r="HB405" s="21"/>
      <c r="HC405" s="21"/>
      <c r="HD405" s="21"/>
      <c r="HE405" s="21"/>
      <c r="HF405" s="21"/>
      <c r="HG405" s="21"/>
      <c r="HH405" s="21"/>
      <c r="HI405" s="21"/>
      <c r="HJ405" s="21"/>
      <c r="HK405" s="21"/>
      <c r="HL405" s="21"/>
      <c r="HM405" s="21"/>
      <c r="HN405" s="21"/>
      <c r="HO405" s="21"/>
      <c r="HP405" s="21"/>
      <c r="HQ405" s="21"/>
      <c r="HR405" s="21"/>
      <c r="HS405" s="21"/>
      <c r="HT405" s="21"/>
      <c r="HU405" s="21"/>
      <c r="HV405" s="21"/>
      <c r="HW405" s="21"/>
      <c r="HX405" s="21"/>
      <c r="HY405" s="21"/>
      <c r="HZ405" s="21"/>
      <c r="IA405" s="21"/>
      <c r="IB405" s="21"/>
      <c r="IC405" s="21"/>
    </row>
    <row r="406" spans="1:237">
      <c r="A406" s="77"/>
      <c r="B406" s="77"/>
      <c r="C406" s="77"/>
      <c r="D406" s="77"/>
      <c r="E406" s="77"/>
      <c r="F406" s="77"/>
      <c r="G406" s="77"/>
      <c r="H406" s="77"/>
      <c r="I406" s="77"/>
      <c r="J406" s="68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  <c r="DB406" s="21"/>
      <c r="DC406" s="21"/>
      <c r="DD406" s="21"/>
      <c r="DE406" s="21"/>
      <c r="DF406" s="21"/>
      <c r="DG406" s="21"/>
      <c r="DH406" s="21"/>
      <c r="DI406" s="21"/>
      <c r="DJ406" s="21"/>
      <c r="DK406" s="21"/>
      <c r="DL406" s="21"/>
      <c r="DM406" s="21"/>
      <c r="DN406" s="21"/>
      <c r="DO406" s="21"/>
      <c r="DP406" s="21"/>
      <c r="DQ406" s="21"/>
      <c r="DR406" s="21"/>
      <c r="DS406" s="21"/>
      <c r="DT406" s="21"/>
      <c r="DU406" s="21"/>
      <c r="DV406" s="21"/>
      <c r="DW406" s="21"/>
      <c r="DX406" s="21"/>
      <c r="DY406" s="21"/>
      <c r="DZ406" s="21"/>
      <c r="EA406" s="21"/>
      <c r="EB406" s="21"/>
      <c r="EC406" s="21"/>
      <c r="ED406" s="21"/>
      <c r="EE406" s="21"/>
      <c r="EF406" s="21"/>
      <c r="EG406" s="21"/>
      <c r="EH406" s="21"/>
      <c r="EI406" s="21"/>
      <c r="EJ406" s="21"/>
      <c r="EK406" s="21"/>
      <c r="EL406" s="21"/>
      <c r="EM406" s="21"/>
      <c r="EN406" s="21"/>
      <c r="EO406" s="21"/>
      <c r="EP406" s="21"/>
      <c r="EQ406" s="21"/>
      <c r="ER406" s="21"/>
      <c r="ES406" s="21"/>
      <c r="ET406" s="21"/>
      <c r="EU406" s="21"/>
      <c r="EV406" s="21"/>
      <c r="EW406" s="21"/>
      <c r="EX406" s="21"/>
      <c r="EY406" s="21"/>
      <c r="EZ406" s="21"/>
      <c r="FA406" s="21"/>
      <c r="FB406" s="21"/>
      <c r="FC406" s="21"/>
      <c r="FD406" s="21"/>
      <c r="FE406" s="21"/>
      <c r="FF406" s="21"/>
      <c r="FG406" s="21"/>
      <c r="FH406" s="21"/>
      <c r="FI406" s="21"/>
      <c r="FJ406" s="21"/>
      <c r="FK406" s="21"/>
      <c r="FL406" s="21"/>
      <c r="FM406" s="21"/>
      <c r="FN406" s="21"/>
      <c r="FO406" s="21"/>
      <c r="FP406" s="21"/>
      <c r="FQ406" s="21"/>
      <c r="FR406" s="21"/>
      <c r="FS406" s="21"/>
      <c r="FT406" s="21"/>
      <c r="FU406" s="21"/>
      <c r="FV406" s="21"/>
      <c r="FW406" s="21"/>
      <c r="FX406" s="21"/>
      <c r="FY406" s="21"/>
      <c r="FZ406" s="21"/>
      <c r="GA406" s="21"/>
      <c r="GB406" s="21"/>
      <c r="GC406" s="21"/>
      <c r="GD406" s="21"/>
      <c r="GE406" s="21"/>
      <c r="GF406" s="21"/>
      <c r="GG406" s="21"/>
      <c r="GH406" s="21"/>
      <c r="GI406" s="21"/>
      <c r="GJ406" s="21"/>
      <c r="GK406" s="21"/>
      <c r="GL406" s="21"/>
      <c r="GM406" s="21"/>
      <c r="GN406" s="21"/>
      <c r="GO406" s="21"/>
      <c r="GP406" s="21"/>
      <c r="GQ406" s="21"/>
      <c r="GR406" s="21"/>
      <c r="GS406" s="21"/>
      <c r="GT406" s="21"/>
      <c r="GU406" s="21"/>
      <c r="GV406" s="21"/>
      <c r="GW406" s="21"/>
      <c r="GX406" s="21"/>
      <c r="GY406" s="21"/>
      <c r="GZ406" s="21"/>
      <c r="HA406" s="21"/>
      <c r="HB406" s="21"/>
      <c r="HC406" s="21"/>
      <c r="HD406" s="21"/>
      <c r="HE406" s="21"/>
      <c r="HF406" s="21"/>
      <c r="HG406" s="21"/>
      <c r="HH406" s="21"/>
      <c r="HI406" s="21"/>
      <c r="HJ406" s="21"/>
      <c r="HK406" s="21"/>
      <c r="HL406" s="21"/>
      <c r="HM406" s="21"/>
      <c r="HN406" s="21"/>
      <c r="HO406" s="21"/>
      <c r="HP406" s="21"/>
      <c r="HQ406" s="21"/>
      <c r="HR406" s="21"/>
      <c r="HS406" s="21"/>
      <c r="HT406" s="21"/>
      <c r="HU406" s="21"/>
      <c r="HV406" s="21"/>
      <c r="HW406" s="21"/>
      <c r="HX406" s="21"/>
      <c r="HY406" s="21"/>
      <c r="HZ406" s="21"/>
      <c r="IA406" s="21"/>
      <c r="IB406" s="21"/>
      <c r="IC406" s="21"/>
    </row>
    <row r="407" spans="1:237">
      <c r="A407" s="77"/>
      <c r="B407" s="77"/>
      <c r="C407" s="77"/>
      <c r="D407" s="77"/>
      <c r="E407" s="77"/>
      <c r="F407" s="77"/>
      <c r="G407" s="77"/>
      <c r="H407" s="77"/>
      <c r="I407" s="77"/>
      <c r="J407" s="68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  <c r="DB407" s="21"/>
      <c r="DC407" s="21"/>
      <c r="DD407" s="21"/>
      <c r="DE407" s="21"/>
      <c r="DF407" s="21"/>
      <c r="DG407" s="21"/>
      <c r="DH407" s="21"/>
      <c r="DI407" s="21"/>
      <c r="DJ407" s="21"/>
      <c r="DK407" s="21"/>
      <c r="DL407" s="21"/>
      <c r="DM407" s="21"/>
      <c r="DN407" s="21"/>
      <c r="DO407" s="21"/>
      <c r="DP407" s="21"/>
      <c r="DQ407" s="21"/>
      <c r="DR407" s="21"/>
      <c r="DS407" s="21"/>
      <c r="DT407" s="21"/>
      <c r="DU407" s="21"/>
      <c r="DV407" s="21"/>
      <c r="DW407" s="21"/>
      <c r="DX407" s="21"/>
      <c r="DY407" s="21"/>
      <c r="DZ407" s="21"/>
      <c r="EA407" s="21"/>
      <c r="EB407" s="21"/>
      <c r="EC407" s="21"/>
      <c r="ED407" s="21"/>
      <c r="EE407" s="21"/>
      <c r="EF407" s="21"/>
      <c r="EG407" s="21"/>
      <c r="EH407" s="21"/>
      <c r="EI407" s="21"/>
      <c r="EJ407" s="21"/>
      <c r="EK407" s="21"/>
      <c r="EL407" s="21"/>
      <c r="EM407" s="21"/>
      <c r="EN407" s="21"/>
      <c r="EO407" s="21"/>
      <c r="EP407" s="21"/>
      <c r="EQ407" s="21"/>
      <c r="ER407" s="21"/>
      <c r="ES407" s="21"/>
      <c r="ET407" s="21"/>
      <c r="EU407" s="21"/>
      <c r="EV407" s="21"/>
      <c r="EW407" s="21"/>
      <c r="EX407" s="21"/>
      <c r="EY407" s="21"/>
      <c r="EZ407" s="21"/>
      <c r="FA407" s="21"/>
      <c r="FB407" s="21"/>
      <c r="FC407" s="21"/>
      <c r="FD407" s="21"/>
      <c r="FE407" s="21"/>
      <c r="FF407" s="21"/>
      <c r="FG407" s="21"/>
      <c r="FH407" s="21"/>
      <c r="FI407" s="21"/>
      <c r="FJ407" s="21"/>
      <c r="FK407" s="21"/>
      <c r="FL407" s="21"/>
      <c r="FM407" s="21"/>
      <c r="FN407" s="21"/>
      <c r="FO407" s="21"/>
      <c r="FP407" s="21"/>
      <c r="FQ407" s="21"/>
      <c r="FR407" s="21"/>
      <c r="FS407" s="21"/>
      <c r="FT407" s="21"/>
      <c r="FU407" s="21"/>
      <c r="FV407" s="21"/>
      <c r="FW407" s="21"/>
      <c r="FX407" s="21"/>
      <c r="FY407" s="21"/>
      <c r="FZ407" s="21"/>
      <c r="GA407" s="21"/>
      <c r="GB407" s="21"/>
      <c r="GC407" s="21"/>
      <c r="GD407" s="21"/>
      <c r="GE407" s="21"/>
      <c r="GF407" s="21"/>
      <c r="GG407" s="21"/>
      <c r="GH407" s="21"/>
      <c r="GI407" s="21"/>
      <c r="GJ407" s="21"/>
      <c r="GK407" s="21"/>
      <c r="GL407" s="21"/>
      <c r="GM407" s="21"/>
      <c r="GN407" s="21"/>
      <c r="GO407" s="21"/>
      <c r="GP407" s="21"/>
      <c r="GQ407" s="21"/>
      <c r="GR407" s="21"/>
      <c r="GS407" s="21"/>
      <c r="GT407" s="21"/>
      <c r="GU407" s="21"/>
      <c r="GV407" s="21"/>
      <c r="GW407" s="21"/>
      <c r="GX407" s="21"/>
      <c r="GY407" s="21"/>
      <c r="GZ407" s="21"/>
      <c r="HA407" s="21"/>
      <c r="HB407" s="21"/>
      <c r="HC407" s="21"/>
      <c r="HD407" s="21"/>
      <c r="HE407" s="21"/>
      <c r="HF407" s="21"/>
      <c r="HG407" s="21"/>
      <c r="HH407" s="21"/>
      <c r="HI407" s="21"/>
      <c r="HJ407" s="21"/>
      <c r="HK407" s="21"/>
      <c r="HL407" s="21"/>
      <c r="HM407" s="21"/>
      <c r="HN407" s="21"/>
      <c r="HO407" s="21"/>
      <c r="HP407" s="21"/>
      <c r="HQ407" s="21"/>
      <c r="HR407" s="21"/>
      <c r="HS407" s="21"/>
      <c r="HT407" s="21"/>
      <c r="HU407" s="21"/>
      <c r="HV407" s="21"/>
      <c r="HW407" s="21"/>
      <c r="HX407" s="21"/>
      <c r="HY407" s="21"/>
      <c r="HZ407" s="21"/>
      <c r="IA407" s="21"/>
      <c r="IB407" s="21"/>
      <c r="IC407" s="21"/>
    </row>
    <row r="408" spans="1:237">
      <c r="A408" s="77"/>
      <c r="B408" s="77"/>
      <c r="C408" s="77"/>
      <c r="D408" s="77"/>
      <c r="E408" s="77"/>
      <c r="F408" s="77"/>
      <c r="G408" s="77"/>
      <c r="H408" s="77"/>
      <c r="I408" s="77"/>
      <c r="J408" s="68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  <c r="DB408" s="21"/>
      <c r="DC408" s="21"/>
      <c r="DD408" s="21"/>
      <c r="DE408" s="21"/>
      <c r="DF408" s="21"/>
      <c r="DG408" s="21"/>
      <c r="DH408" s="21"/>
      <c r="DI408" s="21"/>
      <c r="DJ408" s="21"/>
      <c r="DK408" s="21"/>
      <c r="DL408" s="21"/>
      <c r="DM408" s="21"/>
      <c r="DN408" s="21"/>
      <c r="DO408" s="21"/>
      <c r="DP408" s="21"/>
      <c r="DQ408" s="21"/>
      <c r="DR408" s="21"/>
      <c r="DS408" s="21"/>
      <c r="DT408" s="21"/>
      <c r="DU408" s="21"/>
      <c r="DV408" s="21"/>
      <c r="DW408" s="21"/>
      <c r="DX408" s="21"/>
      <c r="DY408" s="21"/>
      <c r="DZ408" s="21"/>
      <c r="EA408" s="21"/>
      <c r="EB408" s="21"/>
      <c r="EC408" s="21"/>
      <c r="ED408" s="21"/>
      <c r="EE408" s="21"/>
      <c r="EF408" s="21"/>
      <c r="EG408" s="21"/>
      <c r="EH408" s="21"/>
      <c r="EI408" s="21"/>
      <c r="EJ408" s="21"/>
      <c r="EK408" s="21"/>
      <c r="EL408" s="21"/>
      <c r="EM408" s="21"/>
      <c r="EN408" s="21"/>
      <c r="EO408" s="21"/>
      <c r="EP408" s="21"/>
      <c r="EQ408" s="21"/>
      <c r="ER408" s="21"/>
      <c r="ES408" s="21"/>
      <c r="ET408" s="21"/>
      <c r="EU408" s="21"/>
      <c r="EV408" s="21"/>
      <c r="EW408" s="21"/>
      <c r="EX408" s="21"/>
      <c r="EY408" s="21"/>
      <c r="EZ408" s="21"/>
      <c r="FA408" s="21"/>
      <c r="FB408" s="21"/>
      <c r="FC408" s="21"/>
      <c r="FD408" s="21"/>
      <c r="FE408" s="21"/>
      <c r="FF408" s="21"/>
      <c r="FG408" s="21"/>
      <c r="FH408" s="21"/>
      <c r="FI408" s="21"/>
      <c r="FJ408" s="21"/>
      <c r="FK408" s="21"/>
      <c r="FL408" s="21"/>
      <c r="FM408" s="21"/>
      <c r="FN408" s="21"/>
      <c r="FO408" s="21"/>
      <c r="FP408" s="21"/>
      <c r="FQ408" s="21"/>
      <c r="FR408" s="21"/>
      <c r="FS408" s="21"/>
      <c r="FT408" s="21"/>
      <c r="FU408" s="21"/>
      <c r="FV408" s="21"/>
      <c r="FW408" s="21"/>
      <c r="FX408" s="21"/>
      <c r="FY408" s="21"/>
      <c r="FZ408" s="21"/>
      <c r="GA408" s="21"/>
      <c r="GB408" s="21"/>
      <c r="GC408" s="21"/>
      <c r="GD408" s="21"/>
      <c r="GE408" s="21"/>
      <c r="GF408" s="21"/>
      <c r="GG408" s="21"/>
      <c r="GH408" s="21"/>
      <c r="GI408" s="21"/>
      <c r="GJ408" s="21"/>
      <c r="GK408" s="21"/>
      <c r="GL408" s="21"/>
      <c r="GM408" s="21"/>
      <c r="GN408" s="21"/>
      <c r="GO408" s="21"/>
      <c r="GP408" s="21"/>
      <c r="GQ408" s="21"/>
      <c r="GR408" s="21"/>
      <c r="GS408" s="21"/>
      <c r="GT408" s="21"/>
      <c r="GU408" s="21"/>
      <c r="GV408" s="21"/>
      <c r="GW408" s="21"/>
      <c r="GX408" s="21"/>
      <c r="GY408" s="21"/>
      <c r="GZ408" s="21"/>
      <c r="HA408" s="21"/>
      <c r="HB408" s="21"/>
      <c r="HC408" s="21"/>
      <c r="HD408" s="21"/>
      <c r="HE408" s="21"/>
      <c r="HF408" s="21"/>
      <c r="HG408" s="21"/>
      <c r="HH408" s="21"/>
      <c r="HI408" s="21"/>
      <c r="HJ408" s="21"/>
      <c r="HK408" s="21"/>
      <c r="HL408" s="21"/>
      <c r="HM408" s="21"/>
      <c r="HN408" s="21"/>
      <c r="HO408" s="21"/>
      <c r="HP408" s="21"/>
      <c r="HQ408" s="21"/>
      <c r="HR408" s="21"/>
      <c r="HS408" s="21"/>
      <c r="HT408" s="21"/>
      <c r="HU408" s="21"/>
      <c r="HV408" s="21"/>
      <c r="HW408" s="21"/>
      <c r="HX408" s="21"/>
      <c r="HY408" s="21"/>
      <c r="HZ408" s="21"/>
      <c r="IA408" s="21"/>
      <c r="IB408" s="21"/>
      <c r="IC408" s="21"/>
    </row>
    <row r="409" spans="1:237">
      <c r="A409" s="77"/>
      <c r="B409" s="77"/>
      <c r="C409" s="77"/>
      <c r="D409" s="77"/>
      <c r="E409" s="77"/>
      <c r="F409" s="77"/>
      <c r="G409" s="77"/>
      <c r="H409" s="77"/>
      <c r="I409" s="77"/>
      <c r="J409" s="68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  <c r="DB409" s="21"/>
      <c r="DC409" s="21"/>
      <c r="DD409" s="21"/>
      <c r="DE409" s="21"/>
      <c r="DF409" s="21"/>
      <c r="DG409" s="21"/>
      <c r="DH409" s="21"/>
      <c r="DI409" s="21"/>
      <c r="DJ409" s="21"/>
      <c r="DK409" s="21"/>
      <c r="DL409" s="21"/>
      <c r="DM409" s="21"/>
      <c r="DN409" s="21"/>
      <c r="DO409" s="21"/>
      <c r="DP409" s="21"/>
      <c r="DQ409" s="21"/>
      <c r="DR409" s="21"/>
      <c r="DS409" s="21"/>
      <c r="DT409" s="21"/>
      <c r="DU409" s="21"/>
      <c r="DV409" s="21"/>
      <c r="DW409" s="21"/>
      <c r="DX409" s="21"/>
      <c r="DY409" s="21"/>
      <c r="DZ409" s="21"/>
      <c r="EA409" s="21"/>
      <c r="EB409" s="21"/>
      <c r="EC409" s="21"/>
      <c r="ED409" s="21"/>
      <c r="EE409" s="21"/>
      <c r="EF409" s="21"/>
      <c r="EG409" s="21"/>
      <c r="EH409" s="21"/>
      <c r="EI409" s="21"/>
      <c r="EJ409" s="21"/>
      <c r="EK409" s="21"/>
      <c r="EL409" s="21"/>
      <c r="EM409" s="21"/>
      <c r="EN409" s="21"/>
      <c r="EO409" s="21"/>
      <c r="EP409" s="21"/>
      <c r="EQ409" s="21"/>
      <c r="ER409" s="21"/>
      <c r="ES409" s="21"/>
      <c r="ET409" s="21"/>
      <c r="EU409" s="21"/>
      <c r="EV409" s="21"/>
      <c r="EW409" s="21"/>
      <c r="EX409" s="21"/>
      <c r="EY409" s="21"/>
      <c r="EZ409" s="21"/>
      <c r="FA409" s="21"/>
      <c r="FB409" s="21"/>
      <c r="FC409" s="21"/>
      <c r="FD409" s="21"/>
      <c r="FE409" s="21"/>
      <c r="FF409" s="21"/>
      <c r="FG409" s="21"/>
      <c r="FH409" s="21"/>
      <c r="FI409" s="21"/>
      <c r="FJ409" s="21"/>
      <c r="FK409" s="21"/>
      <c r="FL409" s="21"/>
      <c r="FM409" s="21"/>
      <c r="FN409" s="21"/>
      <c r="FO409" s="21"/>
      <c r="FP409" s="21"/>
      <c r="FQ409" s="21"/>
      <c r="FR409" s="21"/>
      <c r="FS409" s="21"/>
      <c r="FT409" s="21"/>
      <c r="FU409" s="21"/>
      <c r="FV409" s="21"/>
      <c r="FW409" s="21"/>
      <c r="FX409" s="21"/>
      <c r="FY409" s="21"/>
      <c r="FZ409" s="21"/>
      <c r="GA409" s="21"/>
      <c r="GB409" s="21"/>
      <c r="GC409" s="21"/>
      <c r="GD409" s="21"/>
      <c r="GE409" s="21"/>
      <c r="GF409" s="21"/>
      <c r="GG409" s="21"/>
      <c r="GH409" s="21"/>
      <c r="GI409" s="21"/>
      <c r="GJ409" s="21"/>
      <c r="GK409" s="21"/>
      <c r="GL409" s="21"/>
      <c r="GM409" s="21"/>
      <c r="GN409" s="21"/>
      <c r="GO409" s="21"/>
      <c r="GP409" s="21"/>
      <c r="GQ409" s="21"/>
      <c r="GR409" s="21"/>
      <c r="GS409" s="21"/>
      <c r="GT409" s="21"/>
      <c r="GU409" s="21"/>
      <c r="GV409" s="21"/>
      <c r="GW409" s="21"/>
      <c r="GX409" s="21"/>
      <c r="GY409" s="21"/>
      <c r="GZ409" s="21"/>
      <c r="HA409" s="21"/>
      <c r="HB409" s="21"/>
      <c r="HC409" s="21"/>
      <c r="HD409" s="21"/>
      <c r="HE409" s="21"/>
      <c r="HF409" s="21"/>
      <c r="HG409" s="21"/>
      <c r="HH409" s="21"/>
      <c r="HI409" s="21"/>
      <c r="HJ409" s="21"/>
      <c r="HK409" s="21"/>
      <c r="HL409" s="21"/>
      <c r="HM409" s="21"/>
      <c r="HN409" s="21"/>
      <c r="HO409" s="21"/>
      <c r="HP409" s="21"/>
      <c r="HQ409" s="21"/>
      <c r="HR409" s="21"/>
      <c r="HS409" s="21"/>
      <c r="HT409" s="21"/>
      <c r="HU409" s="21"/>
      <c r="HV409" s="21"/>
      <c r="HW409" s="21"/>
      <c r="HX409" s="21"/>
      <c r="HY409" s="21"/>
      <c r="HZ409" s="21"/>
      <c r="IA409" s="21"/>
      <c r="IB409" s="21"/>
      <c r="IC409" s="21"/>
    </row>
    <row r="410" spans="1:237">
      <c r="A410" s="77"/>
      <c r="B410" s="77"/>
      <c r="C410" s="77"/>
      <c r="D410" s="77"/>
      <c r="E410" s="77"/>
      <c r="F410" s="77"/>
      <c r="G410" s="77"/>
      <c r="H410" s="77"/>
      <c r="I410" s="77"/>
      <c r="J410" s="68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  <c r="DB410" s="21"/>
      <c r="DC410" s="21"/>
      <c r="DD410" s="21"/>
      <c r="DE410" s="21"/>
      <c r="DF410" s="21"/>
      <c r="DG410" s="21"/>
      <c r="DH410" s="21"/>
      <c r="DI410" s="21"/>
      <c r="DJ410" s="21"/>
      <c r="DK410" s="21"/>
      <c r="DL410" s="21"/>
      <c r="DM410" s="21"/>
      <c r="DN410" s="21"/>
      <c r="DO410" s="21"/>
      <c r="DP410" s="21"/>
      <c r="DQ410" s="21"/>
      <c r="DR410" s="21"/>
      <c r="DS410" s="21"/>
      <c r="DT410" s="21"/>
      <c r="DU410" s="21"/>
      <c r="DV410" s="21"/>
      <c r="DW410" s="21"/>
      <c r="DX410" s="21"/>
      <c r="DY410" s="21"/>
      <c r="DZ410" s="21"/>
      <c r="EA410" s="21"/>
      <c r="EB410" s="21"/>
      <c r="EC410" s="21"/>
      <c r="ED410" s="21"/>
      <c r="EE410" s="21"/>
      <c r="EF410" s="21"/>
      <c r="EG410" s="21"/>
      <c r="EH410" s="21"/>
      <c r="EI410" s="21"/>
      <c r="EJ410" s="21"/>
      <c r="EK410" s="21"/>
      <c r="EL410" s="21"/>
      <c r="EM410" s="21"/>
      <c r="EN410" s="21"/>
      <c r="EO410" s="21"/>
      <c r="EP410" s="21"/>
      <c r="EQ410" s="21"/>
      <c r="ER410" s="21"/>
      <c r="ES410" s="21"/>
      <c r="ET410" s="21"/>
      <c r="EU410" s="21"/>
      <c r="EV410" s="21"/>
      <c r="EW410" s="21"/>
      <c r="EX410" s="21"/>
      <c r="EY410" s="21"/>
      <c r="EZ410" s="21"/>
      <c r="FA410" s="21"/>
      <c r="FB410" s="21"/>
      <c r="FC410" s="21"/>
      <c r="FD410" s="21"/>
      <c r="FE410" s="21"/>
      <c r="FF410" s="21"/>
      <c r="FG410" s="21"/>
      <c r="FH410" s="21"/>
      <c r="FI410" s="21"/>
      <c r="FJ410" s="21"/>
      <c r="FK410" s="21"/>
      <c r="FL410" s="21"/>
      <c r="FM410" s="21"/>
      <c r="FN410" s="21"/>
      <c r="FO410" s="21"/>
      <c r="FP410" s="21"/>
      <c r="FQ410" s="21"/>
      <c r="FR410" s="21"/>
      <c r="FS410" s="21"/>
      <c r="FT410" s="21"/>
      <c r="FU410" s="21"/>
      <c r="FV410" s="21"/>
      <c r="FW410" s="21"/>
      <c r="FX410" s="21"/>
      <c r="FY410" s="21"/>
      <c r="FZ410" s="21"/>
      <c r="GA410" s="21"/>
      <c r="GB410" s="21"/>
      <c r="GC410" s="21"/>
      <c r="GD410" s="21"/>
      <c r="GE410" s="21"/>
      <c r="GF410" s="21"/>
      <c r="GG410" s="21"/>
      <c r="GH410" s="21"/>
      <c r="GI410" s="21"/>
      <c r="GJ410" s="21"/>
      <c r="GK410" s="21"/>
      <c r="GL410" s="21"/>
      <c r="GM410" s="21"/>
      <c r="GN410" s="21"/>
      <c r="GO410" s="21"/>
      <c r="GP410" s="21"/>
      <c r="GQ410" s="21"/>
      <c r="GR410" s="21"/>
      <c r="GS410" s="21"/>
      <c r="GT410" s="21"/>
      <c r="GU410" s="21"/>
      <c r="GV410" s="21"/>
      <c r="GW410" s="21"/>
      <c r="GX410" s="21"/>
      <c r="GY410" s="21"/>
      <c r="GZ410" s="21"/>
      <c r="HA410" s="21"/>
      <c r="HB410" s="21"/>
      <c r="HC410" s="21"/>
      <c r="HD410" s="21"/>
      <c r="HE410" s="21"/>
      <c r="HF410" s="21"/>
      <c r="HG410" s="21"/>
      <c r="HH410" s="21"/>
      <c r="HI410" s="21"/>
      <c r="HJ410" s="21"/>
      <c r="HK410" s="21"/>
      <c r="HL410" s="21"/>
      <c r="HM410" s="21"/>
      <c r="HN410" s="21"/>
      <c r="HO410" s="21"/>
      <c r="HP410" s="21"/>
      <c r="HQ410" s="21"/>
      <c r="HR410" s="21"/>
      <c r="HS410" s="21"/>
      <c r="HT410" s="21"/>
      <c r="HU410" s="21"/>
      <c r="HV410" s="21"/>
      <c r="HW410" s="21"/>
      <c r="HX410" s="21"/>
      <c r="HY410" s="21"/>
      <c r="HZ410" s="21"/>
      <c r="IA410" s="21"/>
      <c r="IB410" s="21"/>
      <c r="IC410" s="21"/>
    </row>
    <row r="411" spans="1:237">
      <c r="A411" s="77"/>
      <c r="B411" s="77"/>
      <c r="C411" s="77"/>
      <c r="D411" s="77"/>
      <c r="E411" s="77"/>
      <c r="F411" s="77"/>
      <c r="G411" s="77"/>
      <c r="H411" s="77"/>
      <c r="I411" s="77"/>
      <c r="J411" s="68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  <c r="DB411" s="21"/>
      <c r="DC411" s="21"/>
      <c r="DD411" s="21"/>
      <c r="DE411" s="21"/>
      <c r="DF411" s="21"/>
      <c r="DG411" s="21"/>
      <c r="DH411" s="21"/>
      <c r="DI411" s="21"/>
      <c r="DJ411" s="21"/>
      <c r="DK411" s="21"/>
      <c r="DL411" s="21"/>
      <c r="DM411" s="21"/>
      <c r="DN411" s="21"/>
      <c r="DO411" s="21"/>
      <c r="DP411" s="21"/>
      <c r="DQ411" s="21"/>
      <c r="DR411" s="21"/>
      <c r="DS411" s="21"/>
      <c r="DT411" s="21"/>
      <c r="DU411" s="21"/>
      <c r="DV411" s="21"/>
      <c r="DW411" s="21"/>
      <c r="DX411" s="21"/>
      <c r="DY411" s="21"/>
      <c r="DZ411" s="21"/>
      <c r="EA411" s="21"/>
      <c r="EB411" s="21"/>
      <c r="EC411" s="21"/>
      <c r="ED411" s="21"/>
      <c r="EE411" s="21"/>
      <c r="EF411" s="21"/>
      <c r="EG411" s="21"/>
      <c r="EH411" s="21"/>
      <c r="EI411" s="21"/>
      <c r="EJ411" s="21"/>
      <c r="EK411" s="21"/>
      <c r="EL411" s="21"/>
      <c r="EM411" s="21"/>
      <c r="EN411" s="21"/>
      <c r="EO411" s="21"/>
      <c r="EP411" s="21"/>
      <c r="EQ411" s="21"/>
      <c r="ER411" s="21"/>
      <c r="ES411" s="21"/>
      <c r="ET411" s="21"/>
      <c r="EU411" s="21"/>
      <c r="EV411" s="21"/>
      <c r="EW411" s="21"/>
      <c r="EX411" s="21"/>
      <c r="EY411" s="21"/>
      <c r="EZ411" s="21"/>
      <c r="FA411" s="21"/>
      <c r="FB411" s="21"/>
      <c r="FC411" s="21"/>
      <c r="FD411" s="21"/>
      <c r="FE411" s="21"/>
      <c r="FF411" s="21"/>
      <c r="FG411" s="21"/>
      <c r="FH411" s="21"/>
      <c r="FI411" s="21"/>
      <c r="FJ411" s="21"/>
      <c r="FK411" s="21"/>
      <c r="FL411" s="21"/>
      <c r="FM411" s="21"/>
      <c r="FN411" s="21"/>
      <c r="FO411" s="21"/>
      <c r="FP411" s="21"/>
      <c r="FQ411" s="21"/>
      <c r="FR411" s="21"/>
      <c r="FS411" s="21"/>
      <c r="FT411" s="21"/>
      <c r="FU411" s="21"/>
      <c r="FV411" s="21"/>
      <c r="FW411" s="21"/>
      <c r="FX411" s="21"/>
      <c r="FY411" s="21"/>
      <c r="FZ411" s="21"/>
      <c r="GA411" s="21"/>
      <c r="GB411" s="21"/>
      <c r="GC411" s="21"/>
      <c r="GD411" s="21"/>
      <c r="GE411" s="21"/>
      <c r="GF411" s="21"/>
      <c r="GG411" s="21"/>
      <c r="GH411" s="21"/>
      <c r="GI411" s="21"/>
      <c r="GJ411" s="21"/>
      <c r="GK411" s="21"/>
      <c r="GL411" s="21"/>
      <c r="GM411" s="21"/>
      <c r="GN411" s="21"/>
      <c r="GO411" s="21"/>
      <c r="GP411" s="21"/>
      <c r="GQ411" s="21"/>
      <c r="GR411" s="21"/>
      <c r="GS411" s="21"/>
      <c r="GT411" s="21"/>
      <c r="GU411" s="21"/>
      <c r="GV411" s="21"/>
      <c r="GW411" s="21"/>
      <c r="GX411" s="21"/>
      <c r="GY411" s="21"/>
      <c r="GZ411" s="21"/>
      <c r="HA411" s="21"/>
      <c r="HB411" s="21"/>
      <c r="HC411" s="21"/>
      <c r="HD411" s="21"/>
      <c r="HE411" s="21"/>
      <c r="HF411" s="21"/>
      <c r="HG411" s="21"/>
      <c r="HH411" s="21"/>
      <c r="HI411" s="21"/>
      <c r="HJ411" s="21"/>
      <c r="HK411" s="21"/>
      <c r="HL411" s="21"/>
      <c r="HM411" s="21"/>
      <c r="HN411" s="21"/>
      <c r="HO411" s="21"/>
      <c r="HP411" s="21"/>
      <c r="HQ411" s="21"/>
      <c r="HR411" s="21"/>
      <c r="HS411" s="21"/>
      <c r="HT411" s="21"/>
      <c r="HU411" s="21"/>
      <c r="HV411" s="21"/>
      <c r="HW411" s="21"/>
      <c r="HX411" s="21"/>
      <c r="HY411" s="21"/>
      <c r="HZ411" s="21"/>
      <c r="IA411" s="21"/>
      <c r="IB411" s="21"/>
      <c r="IC411" s="21"/>
    </row>
    <row r="412" spans="1:237">
      <c r="A412" s="77"/>
      <c r="B412" s="77"/>
      <c r="C412" s="77"/>
      <c r="D412" s="77"/>
      <c r="E412" s="77"/>
      <c r="F412" s="77"/>
      <c r="G412" s="77"/>
      <c r="H412" s="77"/>
      <c r="I412" s="77"/>
      <c r="J412" s="68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  <c r="DB412" s="21"/>
      <c r="DC412" s="21"/>
      <c r="DD412" s="21"/>
      <c r="DE412" s="21"/>
      <c r="DF412" s="21"/>
      <c r="DG412" s="21"/>
      <c r="DH412" s="21"/>
      <c r="DI412" s="21"/>
      <c r="DJ412" s="21"/>
      <c r="DK412" s="21"/>
      <c r="DL412" s="21"/>
      <c r="DM412" s="21"/>
      <c r="DN412" s="21"/>
      <c r="DO412" s="21"/>
      <c r="DP412" s="21"/>
      <c r="DQ412" s="21"/>
      <c r="DR412" s="21"/>
      <c r="DS412" s="21"/>
      <c r="DT412" s="21"/>
      <c r="DU412" s="21"/>
      <c r="DV412" s="21"/>
      <c r="DW412" s="21"/>
      <c r="DX412" s="21"/>
      <c r="DY412" s="21"/>
      <c r="DZ412" s="21"/>
      <c r="EA412" s="21"/>
      <c r="EB412" s="21"/>
      <c r="EC412" s="21"/>
      <c r="ED412" s="21"/>
      <c r="EE412" s="21"/>
      <c r="EF412" s="21"/>
      <c r="EG412" s="21"/>
      <c r="EH412" s="21"/>
      <c r="EI412" s="21"/>
      <c r="EJ412" s="21"/>
      <c r="EK412" s="21"/>
      <c r="EL412" s="21"/>
      <c r="EM412" s="21"/>
      <c r="EN412" s="21"/>
      <c r="EO412" s="21"/>
      <c r="EP412" s="21"/>
      <c r="EQ412" s="21"/>
      <c r="ER412" s="21"/>
      <c r="ES412" s="21"/>
      <c r="ET412" s="21"/>
      <c r="EU412" s="21"/>
      <c r="EV412" s="21"/>
      <c r="EW412" s="21"/>
      <c r="EX412" s="21"/>
      <c r="EY412" s="21"/>
      <c r="EZ412" s="21"/>
      <c r="FA412" s="21"/>
      <c r="FB412" s="21"/>
      <c r="FC412" s="21"/>
      <c r="FD412" s="21"/>
      <c r="FE412" s="21"/>
      <c r="FF412" s="21"/>
      <c r="FG412" s="21"/>
      <c r="FH412" s="21"/>
      <c r="FI412" s="21"/>
      <c r="FJ412" s="21"/>
      <c r="FK412" s="21"/>
      <c r="FL412" s="21"/>
      <c r="FM412" s="21"/>
      <c r="FN412" s="21"/>
      <c r="FO412" s="21"/>
      <c r="FP412" s="21"/>
      <c r="FQ412" s="21"/>
      <c r="FR412" s="21"/>
      <c r="FS412" s="21"/>
      <c r="FT412" s="21"/>
      <c r="FU412" s="21"/>
      <c r="FV412" s="21"/>
      <c r="FW412" s="21"/>
      <c r="FX412" s="21"/>
      <c r="FY412" s="21"/>
      <c r="FZ412" s="21"/>
      <c r="GA412" s="21"/>
      <c r="GB412" s="21"/>
      <c r="GC412" s="21"/>
      <c r="GD412" s="21"/>
      <c r="GE412" s="21"/>
      <c r="GF412" s="21"/>
      <c r="GG412" s="21"/>
      <c r="GH412" s="21"/>
      <c r="GI412" s="21"/>
      <c r="GJ412" s="21"/>
      <c r="GK412" s="21"/>
      <c r="GL412" s="21"/>
      <c r="GM412" s="21"/>
      <c r="GN412" s="21"/>
      <c r="GO412" s="21"/>
      <c r="GP412" s="21"/>
      <c r="GQ412" s="21"/>
      <c r="GR412" s="21"/>
      <c r="GS412" s="21"/>
      <c r="GT412" s="21"/>
      <c r="GU412" s="21"/>
      <c r="GV412" s="21"/>
      <c r="GW412" s="21"/>
      <c r="GX412" s="21"/>
      <c r="GY412" s="21"/>
      <c r="GZ412" s="21"/>
      <c r="HA412" s="21"/>
      <c r="HB412" s="21"/>
      <c r="HC412" s="21"/>
      <c r="HD412" s="21"/>
      <c r="HE412" s="21"/>
      <c r="HF412" s="21"/>
      <c r="HG412" s="21"/>
      <c r="HH412" s="21"/>
      <c r="HI412" s="21"/>
      <c r="HJ412" s="21"/>
      <c r="HK412" s="21"/>
      <c r="HL412" s="21"/>
      <c r="HM412" s="21"/>
      <c r="HN412" s="21"/>
      <c r="HO412" s="21"/>
      <c r="HP412" s="21"/>
      <c r="HQ412" s="21"/>
      <c r="HR412" s="21"/>
      <c r="HS412" s="21"/>
      <c r="HT412" s="21"/>
      <c r="HU412" s="21"/>
      <c r="HV412" s="21"/>
      <c r="HW412" s="21"/>
      <c r="HX412" s="21"/>
      <c r="HY412" s="21"/>
      <c r="HZ412" s="21"/>
      <c r="IA412" s="21"/>
      <c r="IB412" s="21"/>
      <c r="IC412" s="21"/>
    </row>
    <row r="413" spans="1:237">
      <c r="A413" s="77"/>
      <c r="B413" s="77"/>
      <c r="C413" s="77"/>
      <c r="D413" s="77"/>
      <c r="E413" s="77"/>
      <c r="F413" s="77"/>
      <c r="G413" s="77"/>
      <c r="H413" s="77"/>
      <c r="I413" s="77"/>
      <c r="J413" s="68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  <c r="DB413" s="21"/>
      <c r="DC413" s="21"/>
      <c r="DD413" s="21"/>
      <c r="DE413" s="21"/>
      <c r="DF413" s="21"/>
      <c r="DG413" s="21"/>
      <c r="DH413" s="21"/>
      <c r="DI413" s="21"/>
      <c r="DJ413" s="21"/>
      <c r="DK413" s="21"/>
      <c r="DL413" s="21"/>
      <c r="DM413" s="21"/>
      <c r="DN413" s="21"/>
      <c r="DO413" s="21"/>
      <c r="DP413" s="21"/>
      <c r="DQ413" s="21"/>
      <c r="DR413" s="21"/>
      <c r="DS413" s="21"/>
      <c r="DT413" s="21"/>
      <c r="DU413" s="21"/>
      <c r="DV413" s="21"/>
      <c r="DW413" s="21"/>
      <c r="DX413" s="21"/>
      <c r="DY413" s="21"/>
      <c r="DZ413" s="21"/>
      <c r="EA413" s="21"/>
      <c r="EB413" s="21"/>
      <c r="EC413" s="21"/>
      <c r="ED413" s="21"/>
      <c r="EE413" s="21"/>
      <c r="EF413" s="21"/>
      <c r="EG413" s="21"/>
      <c r="EH413" s="21"/>
      <c r="EI413" s="21"/>
      <c r="EJ413" s="21"/>
      <c r="EK413" s="21"/>
      <c r="EL413" s="21"/>
      <c r="EM413" s="21"/>
      <c r="EN413" s="21"/>
      <c r="EO413" s="21"/>
      <c r="EP413" s="21"/>
      <c r="EQ413" s="21"/>
      <c r="ER413" s="21"/>
      <c r="ES413" s="21"/>
      <c r="ET413" s="21"/>
      <c r="EU413" s="21"/>
      <c r="EV413" s="21"/>
      <c r="EW413" s="21"/>
      <c r="EX413" s="21"/>
      <c r="EY413" s="21"/>
      <c r="EZ413" s="21"/>
      <c r="FA413" s="21"/>
      <c r="FB413" s="21"/>
      <c r="FC413" s="21"/>
      <c r="FD413" s="21"/>
      <c r="FE413" s="21"/>
      <c r="FF413" s="21"/>
      <c r="FG413" s="21"/>
      <c r="FH413" s="21"/>
      <c r="FI413" s="21"/>
      <c r="FJ413" s="21"/>
      <c r="FK413" s="21"/>
      <c r="FL413" s="21"/>
      <c r="FM413" s="21"/>
      <c r="FN413" s="21"/>
      <c r="FO413" s="21"/>
      <c r="FP413" s="21"/>
      <c r="FQ413" s="21"/>
      <c r="FR413" s="21"/>
      <c r="FS413" s="21"/>
      <c r="FT413" s="21"/>
      <c r="FU413" s="21"/>
      <c r="FV413" s="21"/>
      <c r="FW413" s="21"/>
      <c r="FX413" s="21"/>
      <c r="FY413" s="21"/>
      <c r="FZ413" s="21"/>
      <c r="GA413" s="21"/>
      <c r="GB413" s="21"/>
      <c r="GC413" s="21"/>
      <c r="GD413" s="21"/>
      <c r="GE413" s="21"/>
      <c r="GF413" s="21"/>
      <c r="GG413" s="21"/>
      <c r="GH413" s="21"/>
      <c r="GI413" s="21"/>
      <c r="GJ413" s="21"/>
      <c r="GK413" s="21"/>
      <c r="GL413" s="21"/>
      <c r="GM413" s="21"/>
      <c r="GN413" s="21"/>
      <c r="GO413" s="21"/>
      <c r="GP413" s="21"/>
      <c r="GQ413" s="21"/>
      <c r="GR413" s="21"/>
      <c r="GS413" s="21"/>
      <c r="GT413" s="21"/>
      <c r="GU413" s="21"/>
      <c r="GV413" s="21"/>
      <c r="GW413" s="21"/>
      <c r="GX413" s="21"/>
      <c r="GY413" s="21"/>
      <c r="GZ413" s="21"/>
      <c r="HA413" s="21"/>
      <c r="HB413" s="21"/>
      <c r="HC413" s="21"/>
      <c r="HD413" s="21"/>
      <c r="HE413" s="21"/>
      <c r="HF413" s="21"/>
      <c r="HG413" s="21"/>
      <c r="HH413" s="21"/>
      <c r="HI413" s="21"/>
      <c r="HJ413" s="21"/>
      <c r="HK413" s="21"/>
      <c r="HL413" s="21"/>
      <c r="HM413" s="21"/>
      <c r="HN413" s="21"/>
      <c r="HO413" s="21"/>
      <c r="HP413" s="21"/>
      <c r="HQ413" s="21"/>
      <c r="HR413" s="21"/>
      <c r="HS413" s="21"/>
      <c r="HT413" s="21"/>
      <c r="HU413" s="21"/>
      <c r="HV413" s="21"/>
      <c r="HW413" s="21"/>
      <c r="HX413" s="21"/>
      <c r="HY413" s="21"/>
      <c r="HZ413" s="21"/>
      <c r="IA413" s="21"/>
      <c r="IB413" s="21"/>
      <c r="IC413" s="21"/>
    </row>
    <row r="414" spans="1:237">
      <c r="A414" s="77"/>
      <c r="B414" s="77"/>
      <c r="C414" s="77"/>
      <c r="D414" s="77"/>
      <c r="E414" s="77"/>
      <c r="F414" s="77"/>
      <c r="G414" s="77"/>
      <c r="H414" s="77"/>
      <c r="I414" s="77"/>
      <c r="J414" s="68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  <c r="DB414" s="21"/>
      <c r="DC414" s="21"/>
      <c r="DD414" s="21"/>
      <c r="DE414" s="21"/>
      <c r="DF414" s="21"/>
      <c r="DG414" s="21"/>
      <c r="DH414" s="21"/>
      <c r="DI414" s="21"/>
      <c r="DJ414" s="21"/>
      <c r="DK414" s="21"/>
      <c r="DL414" s="21"/>
      <c r="DM414" s="21"/>
      <c r="DN414" s="21"/>
      <c r="DO414" s="21"/>
      <c r="DP414" s="21"/>
      <c r="DQ414" s="21"/>
      <c r="DR414" s="21"/>
      <c r="DS414" s="21"/>
      <c r="DT414" s="21"/>
      <c r="DU414" s="21"/>
      <c r="DV414" s="21"/>
      <c r="DW414" s="21"/>
      <c r="DX414" s="21"/>
      <c r="DY414" s="21"/>
      <c r="DZ414" s="21"/>
      <c r="EA414" s="21"/>
      <c r="EB414" s="21"/>
      <c r="EC414" s="21"/>
      <c r="ED414" s="21"/>
      <c r="EE414" s="21"/>
      <c r="EF414" s="21"/>
      <c r="EG414" s="21"/>
      <c r="EH414" s="21"/>
      <c r="EI414" s="21"/>
      <c r="EJ414" s="21"/>
      <c r="EK414" s="21"/>
      <c r="EL414" s="21"/>
      <c r="EM414" s="21"/>
      <c r="EN414" s="21"/>
      <c r="EO414" s="21"/>
      <c r="EP414" s="21"/>
      <c r="EQ414" s="21"/>
      <c r="ER414" s="21"/>
      <c r="ES414" s="21"/>
      <c r="ET414" s="21"/>
      <c r="EU414" s="21"/>
      <c r="EV414" s="21"/>
      <c r="EW414" s="21"/>
      <c r="EX414" s="21"/>
      <c r="EY414" s="21"/>
      <c r="EZ414" s="21"/>
      <c r="FA414" s="21"/>
      <c r="FB414" s="21"/>
      <c r="FC414" s="21"/>
      <c r="FD414" s="21"/>
      <c r="FE414" s="21"/>
      <c r="FF414" s="21"/>
      <c r="FG414" s="21"/>
      <c r="FH414" s="21"/>
      <c r="FI414" s="21"/>
      <c r="FJ414" s="21"/>
      <c r="FK414" s="21"/>
      <c r="FL414" s="21"/>
      <c r="FM414" s="21"/>
      <c r="FN414" s="21"/>
      <c r="FO414" s="21"/>
      <c r="FP414" s="21"/>
      <c r="FQ414" s="21"/>
      <c r="FR414" s="21"/>
      <c r="FS414" s="21"/>
      <c r="FT414" s="21"/>
      <c r="FU414" s="21"/>
      <c r="FV414" s="21"/>
      <c r="FW414" s="21"/>
      <c r="FX414" s="21"/>
      <c r="FY414" s="21"/>
      <c r="FZ414" s="21"/>
      <c r="GA414" s="21"/>
      <c r="GB414" s="21"/>
      <c r="GC414" s="21"/>
      <c r="GD414" s="21"/>
      <c r="GE414" s="21"/>
      <c r="GF414" s="21"/>
      <c r="GG414" s="21"/>
      <c r="GH414" s="21"/>
      <c r="GI414" s="21"/>
      <c r="GJ414" s="21"/>
      <c r="GK414" s="21"/>
      <c r="GL414" s="21"/>
      <c r="GM414" s="21"/>
      <c r="GN414" s="21"/>
      <c r="GO414" s="21"/>
      <c r="GP414" s="21"/>
      <c r="GQ414" s="21"/>
      <c r="GR414" s="21"/>
      <c r="GS414" s="21"/>
      <c r="GT414" s="21"/>
      <c r="GU414" s="21"/>
      <c r="GV414" s="21"/>
      <c r="GW414" s="21"/>
      <c r="GX414" s="21"/>
      <c r="GY414" s="21"/>
      <c r="GZ414" s="21"/>
      <c r="HA414" s="21"/>
      <c r="HB414" s="21"/>
      <c r="HC414" s="21"/>
      <c r="HD414" s="21"/>
      <c r="HE414" s="21"/>
      <c r="HF414" s="21"/>
      <c r="HG414" s="21"/>
      <c r="HH414" s="21"/>
      <c r="HI414" s="21"/>
      <c r="HJ414" s="21"/>
      <c r="HK414" s="21"/>
      <c r="HL414" s="21"/>
      <c r="HM414" s="21"/>
      <c r="HN414" s="21"/>
      <c r="HO414" s="21"/>
      <c r="HP414" s="21"/>
      <c r="HQ414" s="21"/>
      <c r="HR414" s="21"/>
      <c r="HS414" s="21"/>
      <c r="HT414" s="21"/>
      <c r="HU414" s="21"/>
      <c r="HV414" s="21"/>
      <c r="HW414" s="21"/>
      <c r="HX414" s="21"/>
      <c r="HY414" s="21"/>
      <c r="HZ414" s="21"/>
      <c r="IA414" s="21"/>
      <c r="IB414" s="21"/>
      <c r="IC414" s="21"/>
    </row>
    <row r="415" spans="1:237">
      <c r="A415" s="77"/>
      <c r="B415" s="77"/>
      <c r="C415" s="77"/>
      <c r="D415" s="77"/>
      <c r="E415" s="77"/>
      <c r="F415" s="77"/>
      <c r="G415" s="77"/>
      <c r="H415" s="77"/>
      <c r="I415" s="77"/>
      <c r="J415" s="68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  <c r="DB415" s="21"/>
      <c r="DC415" s="21"/>
      <c r="DD415" s="21"/>
      <c r="DE415" s="21"/>
      <c r="DF415" s="21"/>
      <c r="DG415" s="21"/>
      <c r="DH415" s="21"/>
      <c r="DI415" s="21"/>
      <c r="DJ415" s="21"/>
      <c r="DK415" s="21"/>
      <c r="DL415" s="21"/>
      <c r="DM415" s="21"/>
      <c r="DN415" s="21"/>
      <c r="DO415" s="21"/>
      <c r="DP415" s="21"/>
      <c r="DQ415" s="21"/>
      <c r="DR415" s="21"/>
      <c r="DS415" s="21"/>
      <c r="DT415" s="21"/>
      <c r="DU415" s="21"/>
      <c r="DV415" s="21"/>
      <c r="DW415" s="21"/>
      <c r="DX415" s="21"/>
      <c r="DY415" s="21"/>
      <c r="DZ415" s="21"/>
      <c r="EA415" s="21"/>
      <c r="EB415" s="21"/>
      <c r="EC415" s="21"/>
      <c r="ED415" s="21"/>
      <c r="EE415" s="21"/>
      <c r="EF415" s="21"/>
      <c r="EG415" s="21"/>
      <c r="EH415" s="21"/>
      <c r="EI415" s="21"/>
      <c r="EJ415" s="21"/>
      <c r="EK415" s="21"/>
      <c r="EL415" s="21"/>
      <c r="EM415" s="21"/>
      <c r="EN415" s="21"/>
      <c r="EO415" s="21"/>
      <c r="EP415" s="21"/>
      <c r="EQ415" s="21"/>
      <c r="ER415" s="21"/>
      <c r="ES415" s="21"/>
      <c r="ET415" s="21"/>
      <c r="EU415" s="21"/>
      <c r="EV415" s="21"/>
      <c r="EW415" s="21"/>
      <c r="EX415" s="21"/>
      <c r="EY415" s="21"/>
      <c r="EZ415" s="21"/>
      <c r="FA415" s="21"/>
      <c r="FB415" s="21"/>
      <c r="FC415" s="21"/>
      <c r="FD415" s="21"/>
      <c r="FE415" s="21"/>
      <c r="FF415" s="21"/>
      <c r="FG415" s="21"/>
      <c r="FH415" s="21"/>
      <c r="FI415" s="21"/>
      <c r="FJ415" s="21"/>
      <c r="FK415" s="21"/>
      <c r="FL415" s="21"/>
      <c r="FM415" s="21"/>
      <c r="FN415" s="21"/>
      <c r="FO415" s="21"/>
      <c r="FP415" s="21"/>
      <c r="FQ415" s="21"/>
      <c r="FR415" s="21"/>
      <c r="FS415" s="21"/>
      <c r="FT415" s="21"/>
      <c r="FU415" s="21"/>
      <c r="FV415" s="21"/>
      <c r="FW415" s="21"/>
      <c r="FX415" s="21"/>
      <c r="FY415" s="21"/>
      <c r="FZ415" s="21"/>
      <c r="GA415" s="21"/>
      <c r="GB415" s="21"/>
      <c r="GC415" s="21"/>
      <c r="GD415" s="21"/>
      <c r="GE415" s="21"/>
      <c r="GF415" s="21"/>
      <c r="GG415" s="21"/>
      <c r="GH415" s="21"/>
      <c r="GI415" s="21"/>
      <c r="GJ415" s="21"/>
      <c r="GK415" s="21"/>
      <c r="GL415" s="21"/>
      <c r="GM415" s="21"/>
      <c r="GN415" s="21"/>
      <c r="GO415" s="21"/>
      <c r="GP415" s="21"/>
      <c r="GQ415" s="21"/>
      <c r="GR415" s="21"/>
      <c r="GS415" s="21"/>
      <c r="GT415" s="21"/>
      <c r="GU415" s="21"/>
      <c r="GV415" s="21"/>
      <c r="GW415" s="21"/>
      <c r="GX415" s="21"/>
      <c r="GY415" s="21"/>
      <c r="GZ415" s="21"/>
      <c r="HA415" s="21"/>
      <c r="HB415" s="21"/>
      <c r="HC415" s="21"/>
      <c r="HD415" s="21"/>
      <c r="HE415" s="21"/>
      <c r="HF415" s="21"/>
      <c r="HG415" s="21"/>
      <c r="HH415" s="21"/>
      <c r="HI415" s="21"/>
      <c r="HJ415" s="21"/>
      <c r="HK415" s="21"/>
      <c r="HL415" s="21"/>
      <c r="HM415" s="21"/>
      <c r="HN415" s="21"/>
      <c r="HO415" s="21"/>
      <c r="HP415" s="21"/>
      <c r="HQ415" s="21"/>
      <c r="HR415" s="21"/>
      <c r="HS415" s="21"/>
      <c r="HT415" s="21"/>
      <c r="HU415" s="21"/>
      <c r="HV415" s="21"/>
      <c r="HW415" s="21"/>
      <c r="HX415" s="21"/>
      <c r="HY415" s="21"/>
      <c r="HZ415" s="21"/>
      <c r="IA415" s="21"/>
      <c r="IB415" s="21"/>
      <c r="IC415" s="21"/>
    </row>
    <row r="416" spans="1:237">
      <c r="A416" s="77"/>
      <c r="B416" s="77"/>
      <c r="C416" s="77"/>
      <c r="D416" s="77"/>
      <c r="E416" s="77"/>
      <c r="F416" s="77"/>
      <c r="G416" s="77"/>
      <c r="H416" s="77"/>
      <c r="I416" s="77"/>
      <c r="J416" s="68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  <c r="DB416" s="21"/>
      <c r="DC416" s="21"/>
      <c r="DD416" s="21"/>
      <c r="DE416" s="21"/>
      <c r="DF416" s="21"/>
      <c r="DG416" s="21"/>
      <c r="DH416" s="21"/>
      <c r="DI416" s="21"/>
      <c r="DJ416" s="21"/>
      <c r="DK416" s="21"/>
      <c r="DL416" s="21"/>
      <c r="DM416" s="21"/>
      <c r="DN416" s="21"/>
      <c r="DO416" s="21"/>
      <c r="DP416" s="21"/>
      <c r="DQ416" s="21"/>
      <c r="DR416" s="21"/>
      <c r="DS416" s="21"/>
      <c r="DT416" s="21"/>
      <c r="DU416" s="21"/>
      <c r="DV416" s="21"/>
      <c r="DW416" s="21"/>
      <c r="DX416" s="21"/>
      <c r="DY416" s="21"/>
      <c r="DZ416" s="21"/>
      <c r="EA416" s="21"/>
      <c r="EB416" s="21"/>
      <c r="EC416" s="21"/>
      <c r="ED416" s="21"/>
      <c r="EE416" s="21"/>
      <c r="EF416" s="21"/>
      <c r="EG416" s="21"/>
      <c r="EH416" s="21"/>
      <c r="EI416" s="21"/>
      <c r="EJ416" s="21"/>
      <c r="EK416" s="21"/>
      <c r="EL416" s="21"/>
      <c r="EM416" s="21"/>
      <c r="EN416" s="21"/>
      <c r="EO416" s="21"/>
      <c r="EP416" s="21"/>
      <c r="EQ416" s="21"/>
      <c r="ER416" s="21"/>
      <c r="ES416" s="21"/>
      <c r="ET416" s="21"/>
      <c r="EU416" s="21"/>
      <c r="EV416" s="21"/>
      <c r="EW416" s="21"/>
      <c r="EX416" s="21"/>
      <c r="EY416" s="21"/>
      <c r="EZ416" s="21"/>
      <c r="FA416" s="21"/>
      <c r="FB416" s="21"/>
      <c r="FC416" s="21"/>
      <c r="FD416" s="21"/>
      <c r="FE416" s="21"/>
      <c r="FF416" s="21"/>
      <c r="FG416" s="21"/>
      <c r="FH416" s="21"/>
      <c r="FI416" s="21"/>
      <c r="FJ416" s="21"/>
      <c r="FK416" s="21"/>
      <c r="FL416" s="21"/>
      <c r="FM416" s="21"/>
      <c r="FN416" s="21"/>
      <c r="FO416" s="21"/>
      <c r="FP416" s="21"/>
      <c r="FQ416" s="21"/>
      <c r="FR416" s="21"/>
      <c r="FS416" s="21"/>
      <c r="FT416" s="21"/>
      <c r="FU416" s="21"/>
      <c r="FV416" s="21"/>
      <c r="FW416" s="21"/>
      <c r="FX416" s="21"/>
      <c r="FY416" s="21"/>
      <c r="FZ416" s="21"/>
      <c r="GA416" s="21"/>
      <c r="GB416" s="21"/>
      <c r="GC416" s="21"/>
      <c r="GD416" s="21"/>
      <c r="GE416" s="21"/>
      <c r="GF416" s="21"/>
      <c r="GG416" s="21"/>
      <c r="GH416" s="21"/>
      <c r="GI416" s="21"/>
      <c r="GJ416" s="21"/>
      <c r="GK416" s="21"/>
      <c r="GL416" s="21"/>
      <c r="GM416" s="21"/>
      <c r="GN416" s="21"/>
      <c r="GO416" s="21"/>
      <c r="GP416" s="21"/>
      <c r="GQ416" s="21"/>
      <c r="GR416" s="21"/>
      <c r="GS416" s="21"/>
      <c r="GT416" s="21"/>
      <c r="GU416" s="21"/>
      <c r="GV416" s="21"/>
      <c r="GW416" s="21"/>
      <c r="GX416" s="21"/>
      <c r="GY416" s="21"/>
      <c r="GZ416" s="21"/>
      <c r="HA416" s="21"/>
      <c r="HB416" s="21"/>
      <c r="HC416" s="21"/>
      <c r="HD416" s="21"/>
      <c r="HE416" s="21"/>
      <c r="HF416" s="21"/>
      <c r="HG416" s="21"/>
      <c r="HH416" s="21"/>
      <c r="HI416" s="21"/>
      <c r="HJ416" s="21"/>
      <c r="HK416" s="21"/>
      <c r="HL416" s="21"/>
      <c r="HM416" s="21"/>
      <c r="HN416" s="21"/>
      <c r="HO416" s="21"/>
      <c r="HP416" s="21"/>
      <c r="HQ416" s="21"/>
      <c r="HR416" s="21"/>
      <c r="HS416" s="21"/>
      <c r="HT416" s="21"/>
      <c r="HU416" s="21"/>
      <c r="HV416" s="21"/>
      <c r="HW416" s="21"/>
      <c r="HX416" s="21"/>
      <c r="HY416" s="21"/>
      <c r="HZ416" s="21"/>
      <c r="IA416" s="21"/>
      <c r="IB416" s="21"/>
      <c r="IC416" s="21"/>
    </row>
    <row r="417" spans="1:237">
      <c r="A417" s="77"/>
      <c r="B417" s="77"/>
      <c r="C417" s="77"/>
      <c r="D417" s="77"/>
      <c r="E417" s="77"/>
      <c r="F417" s="77"/>
      <c r="G417" s="77"/>
      <c r="H417" s="77"/>
      <c r="I417" s="77"/>
      <c r="J417" s="68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  <c r="DB417" s="21"/>
      <c r="DC417" s="21"/>
      <c r="DD417" s="21"/>
      <c r="DE417" s="21"/>
      <c r="DF417" s="21"/>
      <c r="DG417" s="21"/>
      <c r="DH417" s="21"/>
      <c r="DI417" s="21"/>
      <c r="DJ417" s="21"/>
      <c r="DK417" s="21"/>
      <c r="DL417" s="21"/>
      <c r="DM417" s="21"/>
      <c r="DN417" s="21"/>
      <c r="DO417" s="21"/>
      <c r="DP417" s="21"/>
      <c r="DQ417" s="21"/>
      <c r="DR417" s="21"/>
      <c r="DS417" s="21"/>
      <c r="DT417" s="21"/>
      <c r="DU417" s="21"/>
      <c r="DV417" s="21"/>
      <c r="DW417" s="21"/>
      <c r="DX417" s="21"/>
      <c r="DY417" s="21"/>
      <c r="DZ417" s="21"/>
      <c r="EA417" s="21"/>
      <c r="EB417" s="21"/>
      <c r="EC417" s="21"/>
      <c r="ED417" s="21"/>
      <c r="EE417" s="21"/>
      <c r="EF417" s="21"/>
      <c r="EG417" s="21"/>
      <c r="EH417" s="21"/>
      <c r="EI417" s="21"/>
      <c r="EJ417" s="21"/>
      <c r="EK417" s="21"/>
      <c r="EL417" s="21"/>
      <c r="EM417" s="21"/>
      <c r="EN417" s="21"/>
      <c r="EO417" s="21"/>
      <c r="EP417" s="21"/>
      <c r="EQ417" s="21"/>
      <c r="ER417" s="21"/>
      <c r="ES417" s="21"/>
      <c r="ET417" s="21"/>
      <c r="EU417" s="21"/>
      <c r="EV417" s="21"/>
      <c r="EW417" s="21"/>
      <c r="EX417" s="21"/>
      <c r="EY417" s="21"/>
      <c r="EZ417" s="21"/>
      <c r="FA417" s="21"/>
      <c r="FB417" s="21"/>
      <c r="FC417" s="21"/>
      <c r="FD417" s="21"/>
      <c r="FE417" s="21"/>
      <c r="FF417" s="21"/>
      <c r="FG417" s="21"/>
      <c r="FH417" s="21"/>
      <c r="FI417" s="21"/>
      <c r="FJ417" s="21"/>
      <c r="FK417" s="21"/>
      <c r="FL417" s="21"/>
      <c r="FM417" s="21"/>
      <c r="FN417" s="21"/>
      <c r="FO417" s="21"/>
      <c r="FP417" s="21"/>
      <c r="FQ417" s="21"/>
      <c r="FR417" s="21"/>
      <c r="FS417" s="21"/>
      <c r="FT417" s="21"/>
      <c r="FU417" s="21"/>
      <c r="FV417" s="21"/>
      <c r="FW417" s="21"/>
      <c r="FX417" s="21"/>
      <c r="FY417" s="21"/>
      <c r="FZ417" s="21"/>
      <c r="GA417" s="21"/>
      <c r="GB417" s="21"/>
      <c r="GC417" s="21"/>
      <c r="GD417" s="21"/>
      <c r="GE417" s="21"/>
      <c r="GF417" s="21"/>
      <c r="GG417" s="21"/>
      <c r="GH417" s="21"/>
      <c r="GI417" s="21"/>
      <c r="GJ417" s="21"/>
      <c r="GK417" s="21"/>
      <c r="GL417" s="21"/>
      <c r="GM417" s="21"/>
      <c r="GN417" s="21"/>
      <c r="GO417" s="21"/>
      <c r="GP417" s="21"/>
      <c r="GQ417" s="21"/>
      <c r="GR417" s="21"/>
      <c r="GS417" s="21"/>
      <c r="GT417" s="21"/>
      <c r="GU417" s="21"/>
      <c r="GV417" s="21"/>
      <c r="GW417" s="21"/>
      <c r="GX417" s="21"/>
      <c r="GY417" s="21"/>
      <c r="GZ417" s="21"/>
      <c r="HA417" s="21"/>
      <c r="HB417" s="21"/>
      <c r="HC417" s="21"/>
      <c r="HD417" s="21"/>
      <c r="HE417" s="21"/>
      <c r="HF417" s="21"/>
      <c r="HG417" s="21"/>
      <c r="HH417" s="21"/>
      <c r="HI417" s="21"/>
      <c r="HJ417" s="21"/>
      <c r="HK417" s="21"/>
      <c r="HL417" s="21"/>
      <c r="HM417" s="21"/>
      <c r="HN417" s="21"/>
      <c r="HO417" s="21"/>
      <c r="HP417" s="21"/>
      <c r="HQ417" s="21"/>
      <c r="HR417" s="21"/>
      <c r="HS417" s="21"/>
      <c r="HT417" s="21"/>
      <c r="HU417" s="21"/>
      <c r="HV417" s="21"/>
      <c r="HW417" s="21"/>
      <c r="HX417" s="21"/>
      <c r="HY417" s="21"/>
      <c r="HZ417" s="21"/>
      <c r="IA417" s="21"/>
      <c r="IB417" s="21"/>
      <c r="IC417" s="21"/>
    </row>
    <row r="418" spans="1:237">
      <c r="A418" s="77"/>
      <c r="B418" s="77"/>
      <c r="C418" s="77"/>
      <c r="D418" s="77"/>
      <c r="E418" s="77"/>
      <c r="F418" s="77"/>
      <c r="G418" s="77"/>
      <c r="H418" s="77"/>
      <c r="I418" s="77"/>
      <c r="J418" s="68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  <c r="DB418" s="21"/>
      <c r="DC418" s="21"/>
      <c r="DD418" s="21"/>
      <c r="DE418" s="21"/>
      <c r="DF418" s="21"/>
      <c r="DG418" s="21"/>
      <c r="DH418" s="21"/>
      <c r="DI418" s="21"/>
      <c r="DJ418" s="21"/>
      <c r="DK418" s="21"/>
      <c r="DL418" s="21"/>
      <c r="DM418" s="21"/>
      <c r="DN418" s="21"/>
      <c r="DO418" s="21"/>
      <c r="DP418" s="21"/>
      <c r="DQ418" s="21"/>
      <c r="DR418" s="21"/>
      <c r="DS418" s="21"/>
      <c r="DT418" s="21"/>
      <c r="DU418" s="21"/>
      <c r="DV418" s="21"/>
      <c r="DW418" s="21"/>
      <c r="DX418" s="21"/>
      <c r="DY418" s="21"/>
      <c r="DZ418" s="21"/>
      <c r="EA418" s="21"/>
      <c r="EB418" s="21"/>
      <c r="EC418" s="21"/>
      <c r="ED418" s="21"/>
      <c r="EE418" s="21"/>
      <c r="EF418" s="21"/>
      <c r="EG418" s="21"/>
      <c r="EH418" s="21"/>
      <c r="EI418" s="21"/>
      <c r="EJ418" s="21"/>
      <c r="EK418" s="21"/>
      <c r="EL418" s="21"/>
      <c r="EM418" s="21"/>
      <c r="EN418" s="21"/>
      <c r="EO418" s="21"/>
      <c r="EP418" s="21"/>
      <c r="EQ418" s="21"/>
      <c r="ER418" s="21"/>
      <c r="ES418" s="21"/>
      <c r="ET418" s="21"/>
      <c r="EU418" s="21"/>
      <c r="EV418" s="21"/>
      <c r="EW418" s="21"/>
      <c r="EX418" s="21"/>
      <c r="EY418" s="21"/>
      <c r="EZ418" s="21"/>
      <c r="FA418" s="21"/>
      <c r="FB418" s="21"/>
      <c r="FC418" s="21"/>
      <c r="FD418" s="21"/>
      <c r="FE418" s="21"/>
      <c r="FF418" s="21"/>
      <c r="FG418" s="21"/>
      <c r="FH418" s="21"/>
      <c r="FI418" s="21"/>
      <c r="FJ418" s="21"/>
      <c r="FK418" s="21"/>
      <c r="FL418" s="21"/>
      <c r="FM418" s="21"/>
      <c r="FN418" s="21"/>
      <c r="FO418" s="21"/>
      <c r="FP418" s="21"/>
      <c r="FQ418" s="21"/>
      <c r="FR418" s="21"/>
      <c r="FS418" s="21"/>
      <c r="FT418" s="21"/>
      <c r="FU418" s="21"/>
      <c r="FV418" s="21"/>
      <c r="FW418" s="21"/>
      <c r="FX418" s="21"/>
      <c r="FY418" s="21"/>
      <c r="FZ418" s="21"/>
      <c r="GA418" s="21"/>
      <c r="GB418" s="21"/>
      <c r="GC418" s="21"/>
      <c r="GD418" s="21"/>
      <c r="GE418" s="21"/>
      <c r="GF418" s="21"/>
      <c r="GG418" s="21"/>
      <c r="GH418" s="21"/>
      <c r="GI418" s="21"/>
      <c r="GJ418" s="21"/>
      <c r="GK418" s="21"/>
      <c r="GL418" s="21"/>
      <c r="GM418" s="21"/>
      <c r="GN418" s="21"/>
      <c r="GO418" s="21"/>
      <c r="GP418" s="21"/>
      <c r="GQ418" s="21"/>
      <c r="GR418" s="21"/>
      <c r="GS418" s="21"/>
      <c r="GT418" s="21"/>
      <c r="GU418" s="21"/>
      <c r="GV418" s="21"/>
      <c r="GW418" s="21"/>
      <c r="GX418" s="21"/>
      <c r="GY418" s="21"/>
      <c r="GZ418" s="21"/>
      <c r="HA418" s="21"/>
      <c r="HB418" s="21"/>
      <c r="HC418" s="21"/>
      <c r="HD418" s="21"/>
      <c r="HE418" s="21"/>
      <c r="HF418" s="21"/>
      <c r="HG418" s="21"/>
      <c r="HH418" s="21"/>
      <c r="HI418" s="21"/>
      <c r="HJ418" s="21"/>
      <c r="HK418" s="21"/>
      <c r="HL418" s="21"/>
      <c r="HM418" s="21"/>
      <c r="HN418" s="21"/>
      <c r="HO418" s="21"/>
      <c r="HP418" s="21"/>
      <c r="HQ418" s="21"/>
      <c r="HR418" s="21"/>
      <c r="HS418" s="21"/>
      <c r="HT418" s="21"/>
      <c r="HU418" s="21"/>
      <c r="HV418" s="21"/>
      <c r="HW418" s="21"/>
      <c r="HX418" s="21"/>
      <c r="HY418" s="21"/>
      <c r="HZ418" s="21"/>
      <c r="IA418" s="21"/>
      <c r="IB418" s="21"/>
      <c r="IC418" s="21"/>
    </row>
    <row r="419" spans="1:237">
      <c r="A419" s="77"/>
      <c r="B419" s="77"/>
      <c r="C419" s="77"/>
      <c r="D419" s="77"/>
      <c r="E419" s="77"/>
      <c r="F419" s="77"/>
      <c r="G419" s="77"/>
      <c r="H419" s="77"/>
      <c r="I419" s="77"/>
      <c r="J419" s="68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  <c r="DB419" s="21"/>
      <c r="DC419" s="21"/>
      <c r="DD419" s="21"/>
      <c r="DE419" s="21"/>
      <c r="DF419" s="21"/>
      <c r="DG419" s="21"/>
      <c r="DH419" s="21"/>
      <c r="DI419" s="21"/>
      <c r="DJ419" s="21"/>
      <c r="DK419" s="21"/>
      <c r="DL419" s="21"/>
      <c r="DM419" s="21"/>
      <c r="DN419" s="21"/>
      <c r="DO419" s="21"/>
      <c r="DP419" s="21"/>
      <c r="DQ419" s="21"/>
      <c r="DR419" s="21"/>
      <c r="DS419" s="21"/>
      <c r="DT419" s="21"/>
      <c r="DU419" s="21"/>
      <c r="DV419" s="21"/>
      <c r="DW419" s="21"/>
      <c r="DX419" s="21"/>
      <c r="DY419" s="21"/>
      <c r="DZ419" s="21"/>
      <c r="EA419" s="21"/>
      <c r="EB419" s="21"/>
      <c r="EC419" s="21"/>
      <c r="ED419" s="21"/>
      <c r="EE419" s="21"/>
      <c r="EF419" s="21"/>
      <c r="EG419" s="21"/>
      <c r="EH419" s="21"/>
      <c r="EI419" s="21"/>
      <c r="EJ419" s="21"/>
      <c r="EK419" s="21"/>
      <c r="EL419" s="21"/>
      <c r="EM419" s="21"/>
      <c r="EN419" s="21"/>
      <c r="EO419" s="21"/>
      <c r="EP419" s="21"/>
      <c r="EQ419" s="21"/>
      <c r="ER419" s="21"/>
      <c r="ES419" s="21"/>
      <c r="ET419" s="21"/>
      <c r="EU419" s="21"/>
      <c r="EV419" s="21"/>
      <c r="EW419" s="21"/>
      <c r="EX419" s="21"/>
      <c r="EY419" s="21"/>
      <c r="EZ419" s="21"/>
      <c r="FA419" s="21"/>
      <c r="FB419" s="21"/>
      <c r="FC419" s="21"/>
      <c r="FD419" s="21"/>
      <c r="FE419" s="21"/>
      <c r="FF419" s="21"/>
      <c r="FG419" s="21"/>
      <c r="FH419" s="21"/>
      <c r="FI419" s="21"/>
      <c r="FJ419" s="21"/>
      <c r="FK419" s="21"/>
      <c r="FL419" s="21"/>
      <c r="FM419" s="21"/>
      <c r="FN419" s="21"/>
      <c r="FO419" s="21"/>
      <c r="FP419" s="21"/>
      <c r="FQ419" s="21"/>
      <c r="FR419" s="21"/>
      <c r="FS419" s="21"/>
      <c r="FT419" s="21"/>
      <c r="FU419" s="21"/>
      <c r="FV419" s="21"/>
      <c r="FW419" s="21"/>
      <c r="FX419" s="21"/>
      <c r="FY419" s="21"/>
      <c r="FZ419" s="21"/>
      <c r="GA419" s="21"/>
      <c r="GB419" s="21"/>
      <c r="GC419" s="21"/>
      <c r="GD419" s="21"/>
      <c r="GE419" s="21"/>
      <c r="GF419" s="21"/>
      <c r="GG419" s="21"/>
      <c r="GH419" s="21"/>
      <c r="GI419" s="21"/>
      <c r="GJ419" s="21"/>
      <c r="GK419" s="21"/>
      <c r="GL419" s="21"/>
      <c r="GM419" s="21"/>
      <c r="GN419" s="21"/>
      <c r="GO419" s="21"/>
      <c r="GP419" s="21"/>
      <c r="GQ419" s="21"/>
      <c r="GR419" s="21"/>
      <c r="GS419" s="21"/>
      <c r="GT419" s="21"/>
      <c r="GU419" s="21"/>
      <c r="GV419" s="21"/>
      <c r="GW419" s="21"/>
      <c r="GX419" s="21"/>
      <c r="GY419" s="21"/>
      <c r="GZ419" s="21"/>
      <c r="HA419" s="21"/>
      <c r="HB419" s="21"/>
      <c r="HC419" s="21"/>
      <c r="HD419" s="21"/>
      <c r="HE419" s="21"/>
      <c r="HF419" s="21"/>
      <c r="HG419" s="21"/>
      <c r="HH419" s="21"/>
      <c r="HI419" s="21"/>
      <c r="HJ419" s="21"/>
      <c r="HK419" s="21"/>
      <c r="HL419" s="21"/>
      <c r="HM419" s="21"/>
      <c r="HN419" s="21"/>
      <c r="HO419" s="21"/>
      <c r="HP419" s="21"/>
      <c r="HQ419" s="21"/>
      <c r="HR419" s="21"/>
      <c r="HS419" s="21"/>
      <c r="HT419" s="21"/>
      <c r="HU419" s="21"/>
      <c r="HV419" s="21"/>
      <c r="HW419" s="21"/>
      <c r="HX419" s="21"/>
      <c r="HY419" s="21"/>
      <c r="HZ419" s="21"/>
      <c r="IA419" s="21"/>
      <c r="IB419" s="21"/>
      <c r="IC419" s="21"/>
    </row>
    <row r="420" spans="1:237">
      <c r="A420" s="77"/>
      <c r="B420" s="77"/>
      <c r="C420" s="77"/>
      <c r="D420" s="77"/>
      <c r="E420" s="77"/>
      <c r="F420" s="77"/>
      <c r="G420" s="77"/>
      <c r="H420" s="77"/>
      <c r="I420" s="77"/>
      <c r="J420" s="68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  <c r="DB420" s="21"/>
      <c r="DC420" s="21"/>
      <c r="DD420" s="21"/>
      <c r="DE420" s="21"/>
      <c r="DF420" s="21"/>
      <c r="DG420" s="21"/>
      <c r="DH420" s="21"/>
      <c r="DI420" s="21"/>
      <c r="DJ420" s="21"/>
      <c r="DK420" s="21"/>
      <c r="DL420" s="21"/>
      <c r="DM420" s="21"/>
      <c r="DN420" s="21"/>
      <c r="DO420" s="21"/>
      <c r="DP420" s="21"/>
      <c r="DQ420" s="21"/>
      <c r="DR420" s="21"/>
      <c r="DS420" s="21"/>
      <c r="DT420" s="21"/>
      <c r="DU420" s="21"/>
      <c r="DV420" s="21"/>
      <c r="DW420" s="21"/>
      <c r="DX420" s="21"/>
      <c r="DY420" s="21"/>
      <c r="DZ420" s="21"/>
      <c r="EA420" s="21"/>
      <c r="EB420" s="21"/>
      <c r="EC420" s="21"/>
      <c r="ED420" s="21"/>
      <c r="EE420" s="21"/>
      <c r="EF420" s="21"/>
      <c r="EG420" s="21"/>
      <c r="EH420" s="21"/>
      <c r="EI420" s="21"/>
      <c r="EJ420" s="21"/>
      <c r="EK420" s="21"/>
      <c r="EL420" s="21"/>
      <c r="EM420" s="21"/>
      <c r="EN420" s="21"/>
      <c r="EO420" s="21"/>
      <c r="EP420" s="21"/>
      <c r="EQ420" s="21"/>
      <c r="ER420" s="21"/>
      <c r="ES420" s="21"/>
      <c r="ET420" s="21"/>
      <c r="EU420" s="21"/>
      <c r="EV420" s="21"/>
      <c r="EW420" s="21"/>
      <c r="EX420" s="21"/>
      <c r="EY420" s="21"/>
      <c r="EZ420" s="21"/>
      <c r="FA420" s="21"/>
      <c r="FB420" s="21"/>
      <c r="FC420" s="21"/>
      <c r="FD420" s="21"/>
      <c r="FE420" s="21"/>
      <c r="FF420" s="21"/>
      <c r="FG420" s="21"/>
      <c r="FH420" s="21"/>
      <c r="FI420" s="21"/>
      <c r="FJ420" s="21"/>
      <c r="FK420" s="21"/>
      <c r="FL420" s="21"/>
      <c r="FM420" s="21"/>
      <c r="FN420" s="21"/>
      <c r="FO420" s="21"/>
      <c r="FP420" s="21"/>
      <c r="FQ420" s="21"/>
      <c r="FR420" s="21"/>
      <c r="FS420" s="21"/>
      <c r="FT420" s="21"/>
      <c r="FU420" s="21"/>
      <c r="FV420" s="21"/>
      <c r="FW420" s="21"/>
      <c r="FX420" s="21"/>
      <c r="FY420" s="21"/>
      <c r="FZ420" s="21"/>
      <c r="GA420" s="21"/>
      <c r="GB420" s="21"/>
      <c r="GC420" s="21"/>
      <c r="GD420" s="21"/>
      <c r="GE420" s="21"/>
      <c r="GF420" s="21"/>
      <c r="GG420" s="21"/>
      <c r="GH420" s="21"/>
      <c r="GI420" s="21"/>
      <c r="GJ420" s="21"/>
      <c r="GK420" s="21"/>
      <c r="GL420" s="21"/>
      <c r="GM420" s="21"/>
      <c r="GN420" s="21"/>
      <c r="GO420" s="21"/>
      <c r="GP420" s="21"/>
      <c r="GQ420" s="21"/>
      <c r="GR420" s="21"/>
      <c r="GS420" s="21"/>
      <c r="GT420" s="21"/>
      <c r="GU420" s="21"/>
      <c r="GV420" s="21"/>
      <c r="GW420" s="21"/>
      <c r="GX420" s="21"/>
      <c r="GY420" s="21"/>
      <c r="GZ420" s="21"/>
      <c r="HA420" s="21"/>
      <c r="HB420" s="21"/>
      <c r="HC420" s="21"/>
      <c r="HD420" s="21"/>
      <c r="HE420" s="21"/>
      <c r="HF420" s="21"/>
      <c r="HG420" s="21"/>
      <c r="HH420" s="21"/>
      <c r="HI420" s="21"/>
      <c r="HJ420" s="21"/>
      <c r="HK420" s="21"/>
      <c r="HL420" s="21"/>
      <c r="HM420" s="21"/>
      <c r="HN420" s="21"/>
      <c r="HO420" s="21"/>
      <c r="HP420" s="21"/>
      <c r="HQ420" s="21"/>
      <c r="HR420" s="21"/>
      <c r="HS420" s="21"/>
      <c r="HT420" s="21"/>
      <c r="HU420" s="21"/>
      <c r="HV420" s="21"/>
      <c r="HW420" s="21"/>
      <c r="HX420" s="21"/>
      <c r="HY420" s="21"/>
      <c r="HZ420" s="21"/>
      <c r="IA420" s="21"/>
      <c r="IB420" s="21"/>
      <c r="IC420" s="21"/>
    </row>
    <row r="421" spans="1:237">
      <c r="A421" s="77"/>
      <c r="B421" s="77"/>
      <c r="C421" s="77"/>
      <c r="D421" s="77"/>
      <c r="E421" s="77"/>
      <c r="F421" s="77"/>
      <c r="G421" s="77"/>
      <c r="H421" s="77"/>
      <c r="I421" s="77"/>
      <c r="J421" s="68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  <c r="DB421" s="21"/>
      <c r="DC421" s="21"/>
      <c r="DD421" s="21"/>
      <c r="DE421" s="21"/>
      <c r="DF421" s="21"/>
      <c r="DG421" s="21"/>
      <c r="DH421" s="21"/>
      <c r="DI421" s="21"/>
      <c r="DJ421" s="21"/>
      <c r="DK421" s="21"/>
      <c r="DL421" s="21"/>
      <c r="DM421" s="21"/>
      <c r="DN421" s="21"/>
      <c r="DO421" s="21"/>
      <c r="DP421" s="21"/>
      <c r="DQ421" s="21"/>
      <c r="DR421" s="21"/>
      <c r="DS421" s="21"/>
      <c r="DT421" s="21"/>
      <c r="DU421" s="21"/>
      <c r="DV421" s="21"/>
      <c r="DW421" s="21"/>
      <c r="DX421" s="21"/>
      <c r="DY421" s="21"/>
      <c r="DZ421" s="21"/>
      <c r="EA421" s="21"/>
      <c r="EB421" s="21"/>
      <c r="EC421" s="21"/>
      <c r="ED421" s="21"/>
      <c r="EE421" s="21"/>
      <c r="EF421" s="21"/>
      <c r="EG421" s="21"/>
      <c r="EH421" s="21"/>
      <c r="EI421" s="21"/>
      <c r="EJ421" s="21"/>
      <c r="EK421" s="21"/>
      <c r="EL421" s="21"/>
      <c r="EM421" s="21"/>
      <c r="EN421" s="21"/>
      <c r="EO421" s="21"/>
      <c r="EP421" s="21"/>
      <c r="EQ421" s="21"/>
      <c r="ER421" s="21"/>
      <c r="ES421" s="21"/>
      <c r="ET421" s="21"/>
      <c r="EU421" s="21"/>
      <c r="EV421" s="21"/>
      <c r="EW421" s="21"/>
      <c r="EX421" s="21"/>
      <c r="EY421" s="21"/>
      <c r="EZ421" s="21"/>
      <c r="FA421" s="21"/>
      <c r="FB421" s="21"/>
      <c r="FC421" s="21"/>
      <c r="FD421" s="21"/>
      <c r="FE421" s="21"/>
      <c r="FF421" s="21"/>
      <c r="FG421" s="21"/>
      <c r="FH421" s="21"/>
      <c r="FI421" s="21"/>
      <c r="FJ421" s="21"/>
      <c r="FK421" s="21"/>
      <c r="FL421" s="21"/>
      <c r="FM421" s="21"/>
      <c r="FN421" s="21"/>
      <c r="FO421" s="21"/>
      <c r="FP421" s="21"/>
      <c r="FQ421" s="21"/>
      <c r="FR421" s="21"/>
      <c r="FS421" s="21"/>
      <c r="FT421" s="21"/>
      <c r="FU421" s="21"/>
      <c r="FV421" s="21"/>
      <c r="FW421" s="21"/>
      <c r="FX421" s="21"/>
      <c r="FY421" s="21"/>
      <c r="FZ421" s="21"/>
      <c r="GA421" s="21"/>
      <c r="GB421" s="21"/>
      <c r="GC421" s="21"/>
      <c r="GD421" s="21"/>
      <c r="GE421" s="21"/>
      <c r="GF421" s="21"/>
      <c r="GG421" s="21"/>
      <c r="GH421" s="21"/>
      <c r="GI421" s="21"/>
      <c r="GJ421" s="21"/>
      <c r="GK421" s="21"/>
      <c r="GL421" s="21"/>
      <c r="GM421" s="21"/>
      <c r="GN421" s="21"/>
      <c r="GO421" s="21"/>
      <c r="GP421" s="21"/>
      <c r="GQ421" s="21"/>
      <c r="GR421" s="21"/>
      <c r="GS421" s="21"/>
      <c r="GT421" s="21"/>
      <c r="GU421" s="21"/>
      <c r="GV421" s="21"/>
      <c r="GW421" s="21"/>
      <c r="GX421" s="21"/>
      <c r="GY421" s="21"/>
      <c r="GZ421" s="21"/>
      <c r="HA421" s="21"/>
      <c r="HB421" s="21"/>
      <c r="HC421" s="21"/>
      <c r="HD421" s="21"/>
      <c r="HE421" s="21"/>
      <c r="HF421" s="21"/>
      <c r="HG421" s="21"/>
      <c r="HH421" s="21"/>
      <c r="HI421" s="21"/>
      <c r="HJ421" s="21"/>
      <c r="HK421" s="21"/>
      <c r="HL421" s="21"/>
      <c r="HM421" s="21"/>
      <c r="HN421" s="21"/>
      <c r="HO421" s="21"/>
      <c r="HP421" s="21"/>
      <c r="HQ421" s="21"/>
      <c r="HR421" s="21"/>
      <c r="HS421" s="21"/>
      <c r="HT421" s="21"/>
      <c r="HU421" s="21"/>
      <c r="HV421" s="21"/>
      <c r="HW421" s="21"/>
      <c r="HX421" s="21"/>
      <c r="HY421" s="21"/>
      <c r="HZ421" s="21"/>
      <c r="IA421" s="21"/>
      <c r="IB421" s="21"/>
      <c r="IC421" s="21"/>
    </row>
    <row r="422" spans="1:237">
      <c r="A422" s="77"/>
      <c r="B422" s="77"/>
      <c r="C422" s="77"/>
      <c r="D422" s="77"/>
      <c r="E422" s="77"/>
      <c r="F422" s="77"/>
      <c r="G422" s="77"/>
      <c r="H422" s="77"/>
      <c r="I422" s="77"/>
      <c r="J422" s="68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  <c r="DB422" s="21"/>
      <c r="DC422" s="21"/>
      <c r="DD422" s="21"/>
      <c r="DE422" s="21"/>
      <c r="DF422" s="21"/>
      <c r="DG422" s="21"/>
      <c r="DH422" s="21"/>
      <c r="DI422" s="21"/>
      <c r="DJ422" s="21"/>
      <c r="DK422" s="21"/>
      <c r="DL422" s="21"/>
      <c r="DM422" s="21"/>
      <c r="DN422" s="21"/>
      <c r="DO422" s="21"/>
      <c r="DP422" s="21"/>
      <c r="DQ422" s="21"/>
      <c r="DR422" s="21"/>
      <c r="DS422" s="21"/>
      <c r="DT422" s="21"/>
      <c r="DU422" s="21"/>
      <c r="DV422" s="21"/>
      <c r="DW422" s="21"/>
      <c r="DX422" s="21"/>
      <c r="DY422" s="21"/>
      <c r="DZ422" s="21"/>
      <c r="EA422" s="21"/>
      <c r="EB422" s="21"/>
      <c r="EC422" s="21"/>
      <c r="ED422" s="21"/>
      <c r="EE422" s="21"/>
      <c r="EF422" s="21"/>
      <c r="EG422" s="21"/>
      <c r="EH422" s="21"/>
      <c r="EI422" s="21"/>
      <c r="EJ422" s="21"/>
      <c r="EK422" s="21"/>
      <c r="EL422" s="21"/>
      <c r="EM422" s="21"/>
      <c r="EN422" s="21"/>
      <c r="EO422" s="21"/>
      <c r="EP422" s="21"/>
      <c r="EQ422" s="21"/>
      <c r="ER422" s="21"/>
      <c r="ES422" s="21"/>
      <c r="ET422" s="21"/>
      <c r="EU422" s="21"/>
      <c r="EV422" s="21"/>
      <c r="EW422" s="21"/>
      <c r="EX422" s="21"/>
      <c r="EY422" s="21"/>
      <c r="EZ422" s="21"/>
      <c r="FA422" s="21"/>
      <c r="FB422" s="21"/>
      <c r="FC422" s="21"/>
      <c r="FD422" s="21"/>
      <c r="FE422" s="21"/>
      <c r="FF422" s="21"/>
      <c r="FG422" s="21"/>
      <c r="FH422" s="21"/>
      <c r="FI422" s="21"/>
      <c r="FJ422" s="21"/>
      <c r="FK422" s="21"/>
      <c r="FL422" s="21"/>
      <c r="FM422" s="21"/>
      <c r="FN422" s="21"/>
      <c r="FO422" s="21"/>
      <c r="FP422" s="21"/>
      <c r="FQ422" s="21"/>
      <c r="FR422" s="21"/>
      <c r="FS422" s="21"/>
      <c r="FT422" s="21"/>
      <c r="FU422" s="21"/>
      <c r="FV422" s="21"/>
      <c r="FW422" s="21"/>
      <c r="FX422" s="21"/>
      <c r="FY422" s="21"/>
      <c r="FZ422" s="21"/>
      <c r="GA422" s="21"/>
      <c r="GB422" s="21"/>
      <c r="GC422" s="21"/>
      <c r="GD422" s="21"/>
      <c r="GE422" s="21"/>
      <c r="GF422" s="21"/>
      <c r="GG422" s="21"/>
      <c r="GH422" s="21"/>
      <c r="GI422" s="21"/>
      <c r="GJ422" s="21"/>
      <c r="GK422" s="21"/>
      <c r="GL422" s="21"/>
      <c r="GM422" s="21"/>
      <c r="GN422" s="21"/>
      <c r="GO422" s="21"/>
      <c r="GP422" s="21"/>
      <c r="GQ422" s="21"/>
      <c r="GR422" s="21"/>
      <c r="GS422" s="21"/>
      <c r="GT422" s="21"/>
      <c r="GU422" s="21"/>
      <c r="GV422" s="21"/>
      <c r="GW422" s="21"/>
      <c r="GX422" s="21"/>
      <c r="GY422" s="21"/>
      <c r="GZ422" s="21"/>
      <c r="HA422" s="21"/>
      <c r="HB422" s="21"/>
      <c r="HC422" s="21"/>
      <c r="HD422" s="21"/>
      <c r="HE422" s="21"/>
      <c r="HF422" s="21"/>
      <c r="HG422" s="21"/>
      <c r="HH422" s="21"/>
      <c r="HI422" s="21"/>
      <c r="HJ422" s="21"/>
      <c r="HK422" s="21"/>
      <c r="HL422" s="21"/>
      <c r="HM422" s="21"/>
      <c r="HN422" s="21"/>
      <c r="HO422" s="21"/>
      <c r="HP422" s="21"/>
      <c r="HQ422" s="21"/>
      <c r="HR422" s="21"/>
      <c r="HS422" s="21"/>
      <c r="HT422" s="21"/>
      <c r="HU422" s="21"/>
      <c r="HV422" s="21"/>
      <c r="HW422" s="21"/>
      <c r="HX422" s="21"/>
      <c r="HY422" s="21"/>
      <c r="HZ422" s="21"/>
      <c r="IA422" s="21"/>
      <c r="IB422" s="21"/>
      <c r="IC422" s="21"/>
    </row>
    <row r="423" spans="1:237">
      <c r="A423" s="77"/>
      <c r="B423" s="77"/>
      <c r="C423" s="77"/>
      <c r="D423" s="77"/>
      <c r="E423" s="77"/>
      <c r="F423" s="77"/>
      <c r="G423" s="77"/>
      <c r="H423" s="77"/>
      <c r="I423" s="77"/>
      <c r="J423" s="68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  <c r="DB423" s="21"/>
      <c r="DC423" s="21"/>
      <c r="DD423" s="21"/>
      <c r="DE423" s="21"/>
      <c r="DF423" s="21"/>
      <c r="DG423" s="21"/>
      <c r="DH423" s="21"/>
      <c r="DI423" s="21"/>
      <c r="DJ423" s="21"/>
      <c r="DK423" s="21"/>
      <c r="DL423" s="21"/>
      <c r="DM423" s="21"/>
      <c r="DN423" s="21"/>
      <c r="DO423" s="21"/>
      <c r="DP423" s="21"/>
      <c r="DQ423" s="21"/>
      <c r="DR423" s="21"/>
      <c r="DS423" s="21"/>
      <c r="DT423" s="21"/>
      <c r="DU423" s="21"/>
      <c r="DV423" s="21"/>
      <c r="DW423" s="21"/>
      <c r="DX423" s="21"/>
      <c r="DY423" s="21"/>
      <c r="DZ423" s="21"/>
      <c r="EA423" s="21"/>
      <c r="EB423" s="21"/>
      <c r="EC423" s="21"/>
      <c r="ED423" s="21"/>
      <c r="EE423" s="21"/>
      <c r="EF423" s="21"/>
      <c r="EG423" s="21"/>
      <c r="EH423" s="21"/>
      <c r="EI423" s="21"/>
      <c r="EJ423" s="21"/>
      <c r="EK423" s="21"/>
      <c r="EL423" s="21"/>
      <c r="EM423" s="21"/>
      <c r="EN423" s="21"/>
      <c r="EO423" s="21"/>
      <c r="EP423" s="21"/>
      <c r="EQ423" s="21"/>
      <c r="ER423" s="21"/>
      <c r="ES423" s="21"/>
      <c r="ET423" s="21"/>
      <c r="EU423" s="21"/>
      <c r="EV423" s="21"/>
      <c r="EW423" s="21"/>
      <c r="EX423" s="21"/>
      <c r="EY423" s="21"/>
      <c r="EZ423" s="21"/>
      <c r="FA423" s="21"/>
      <c r="FB423" s="21"/>
      <c r="FC423" s="21"/>
      <c r="FD423" s="21"/>
      <c r="FE423" s="21"/>
      <c r="FF423" s="21"/>
      <c r="FG423" s="21"/>
      <c r="FH423" s="21"/>
      <c r="FI423" s="21"/>
      <c r="FJ423" s="21"/>
      <c r="FK423" s="21"/>
      <c r="FL423" s="21"/>
      <c r="FM423" s="21"/>
      <c r="FN423" s="21"/>
      <c r="FO423" s="21"/>
      <c r="FP423" s="21"/>
      <c r="FQ423" s="21"/>
      <c r="FR423" s="21"/>
      <c r="FS423" s="21"/>
      <c r="FT423" s="21"/>
      <c r="FU423" s="21"/>
      <c r="FV423" s="21"/>
      <c r="FW423" s="21"/>
      <c r="FX423" s="21"/>
      <c r="FY423" s="21"/>
      <c r="FZ423" s="21"/>
      <c r="GA423" s="21"/>
      <c r="GB423" s="21"/>
      <c r="GC423" s="21"/>
      <c r="GD423" s="21"/>
      <c r="GE423" s="21"/>
      <c r="GF423" s="21"/>
      <c r="GG423" s="21"/>
      <c r="GH423" s="21"/>
      <c r="GI423" s="21"/>
      <c r="GJ423" s="21"/>
      <c r="GK423" s="21"/>
      <c r="GL423" s="21"/>
      <c r="GM423" s="21"/>
      <c r="GN423" s="21"/>
      <c r="GO423" s="21"/>
      <c r="GP423" s="21"/>
      <c r="GQ423" s="21"/>
      <c r="GR423" s="21"/>
      <c r="GS423" s="21"/>
      <c r="GT423" s="21"/>
      <c r="GU423" s="21"/>
      <c r="GV423" s="21"/>
      <c r="GW423" s="21"/>
      <c r="GX423" s="21"/>
      <c r="GY423" s="21"/>
      <c r="GZ423" s="21"/>
      <c r="HA423" s="21"/>
      <c r="HB423" s="21"/>
      <c r="HC423" s="21"/>
      <c r="HD423" s="21"/>
      <c r="HE423" s="21"/>
      <c r="HF423" s="21"/>
      <c r="HG423" s="21"/>
      <c r="HH423" s="21"/>
      <c r="HI423" s="21"/>
      <c r="HJ423" s="21"/>
      <c r="HK423" s="21"/>
      <c r="HL423" s="21"/>
      <c r="HM423" s="21"/>
      <c r="HN423" s="21"/>
      <c r="HO423" s="21"/>
      <c r="HP423" s="21"/>
      <c r="HQ423" s="21"/>
      <c r="HR423" s="21"/>
      <c r="HS423" s="21"/>
      <c r="HT423" s="21"/>
      <c r="HU423" s="21"/>
      <c r="HV423" s="21"/>
      <c r="HW423" s="21"/>
      <c r="HX423" s="21"/>
      <c r="HY423" s="21"/>
      <c r="HZ423" s="21"/>
      <c r="IA423" s="21"/>
      <c r="IB423" s="21"/>
      <c r="IC423" s="21"/>
    </row>
    <row r="424" spans="1:237">
      <c r="A424" s="77"/>
      <c r="B424" s="77"/>
      <c r="C424" s="77"/>
      <c r="D424" s="77"/>
      <c r="E424" s="77"/>
      <c r="F424" s="77"/>
      <c r="G424" s="77"/>
      <c r="H424" s="77"/>
      <c r="I424" s="77"/>
      <c r="J424" s="68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  <c r="DB424" s="21"/>
      <c r="DC424" s="21"/>
      <c r="DD424" s="21"/>
      <c r="DE424" s="21"/>
      <c r="DF424" s="21"/>
      <c r="DG424" s="21"/>
      <c r="DH424" s="21"/>
      <c r="DI424" s="21"/>
      <c r="DJ424" s="21"/>
      <c r="DK424" s="21"/>
      <c r="DL424" s="21"/>
      <c r="DM424" s="21"/>
      <c r="DN424" s="21"/>
      <c r="DO424" s="21"/>
      <c r="DP424" s="21"/>
      <c r="DQ424" s="21"/>
      <c r="DR424" s="21"/>
      <c r="DS424" s="21"/>
      <c r="DT424" s="21"/>
      <c r="DU424" s="21"/>
      <c r="DV424" s="21"/>
      <c r="DW424" s="21"/>
      <c r="DX424" s="21"/>
      <c r="DY424" s="21"/>
      <c r="DZ424" s="21"/>
      <c r="EA424" s="21"/>
      <c r="EB424" s="21"/>
      <c r="EC424" s="21"/>
      <c r="ED424" s="21"/>
      <c r="EE424" s="21"/>
      <c r="EF424" s="21"/>
      <c r="EG424" s="21"/>
      <c r="EH424" s="21"/>
      <c r="EI424" s="21"/>
      <c r="EJ424" s="21"/>
      <c r="EK424" s="21"/>
      <c r="EL424" s="21"/>
      <c r="EM424" s="21"/>
      <c r="EN424" s="21"/>
      <c r="EO424" s="21"/>
      <c r="EP424" s="21"/>
      <c r="EQ424" s="21"/>
      <c r="ER424" s="21"/>
      <c r="ES424" s="21"/>
      <c r="ET424" s="21"/>
      <c r="EU424" s="21"/>
      <c r="EV424" s="21"/>
      <c r="EW424" s="21"/>
      <c r="EX424" s="21"/>
      <c r="EY424" s="21"/>
      <c r="EZ424" s="21"/>
      <c r="FA424" s="21"/>
      <c r="FB424" s="21"/>
      <c r="FC424" s="21"/>
      <c r="FD424" s="21"/>
      <c r="FE424" s="21"/>
      <c r="FF424" s="21"/>
      <c r="FG424" s="21"/>
      <c r="FH424" s="21"/>
      <c r="FI424" s="21"/>
      <c r="FJ424" s="21"/>
      <c r="FK424" s="21"/>
      <c r="FL424" s="21"/>
      <c r="FM424" s="21"/>
      <c r="FN424" s="21"/>
      <c r="FO424" s="21"/>
      <c r="FP424" s="21"/>
      <c r="FQ424" s="21"/>
      <c r="FR424" s="21"/>
      <c r="FS424" s="21"/>
      <c r="FT424" s="21"/>
      <c r="FU424" s="21"/>
      <c r="FV424" s="21"/>
      <c r="FW424" s="21"/>
      <c r="FX424" s="21"/>
      <c r="FY424" s="21"/>
      <c r="FZ424" s="21"/>
      <c r="GA424" s="21"/>
      <c r="GB424" s="21"/>
      <c r="GC424" s="21"/>
      <c r="GD424" s="21"/>
      <c r="GE424" s="21"/>
      <c r="GF424" s="21"/>
      <c r="GG424" s="21"/>
      <c r="GH424" s="21"/>
      <c r="GI424" s="21"/>
      <c r="GJ424" s="21"/>
      <c r="GK424" s="21"/>
      <c r="GL424" s="21"/>
      <c r="GM424" s="21"/>
      <c r="GN424" s="21"/>
      <c r="GO424" s="21"/>
      <c r="GP424" s="21"/>
      <c r="GQ424" s="21"/>
      <c r="GR424" s="21"/>
      <c r="GS424" s="21"/>
      <c r="GT424" s="21"/>
      <c r="GU424" s="21"/>
      <c r="GV424" s="21"/>
      <c r="GW424" s="21"/>
      <c r="GX424" s="21"/>
      <c r="GY424" s="21"/>
      <c r="GZ424" s="21"/>
      <c r="HA424" s="21"/>
      <c r="HB424" s="21"/>
      <c r="HC424" s="21"/>
      <c r="HD424" s="21"/>
      <c r="HE424" s="21"/>
      <c r="HF424" s="21"/>
      <c r="HG424" s="21"/>
      <c r="HH424" s="21"/>
      <c r="HI424" s="21"/>
      <c r="HJ424" s="21"/>
      <c r="HK424" s="21"/>
      <c r="HL424" s="21"/>
      <c r="HM424" s="21"/>
      <c r="HN424" s="21"/>
      <c r="HO424" s="21"/>
      <c r="HP424" s="21"/>
      <c r="HQ424" s="21"/>
      <c r="HR424" s="21"/>
      <c r="HS424" s="21"/>
      <c r="HT424" s="21"/>
      <c r="HU424" s="21"/>
      <c r="HV424" s="21"/>
      <c r="HW424" s="21"/>
      <c r="HX424" s="21"/>
      <c r="HY424" s="21"/>
      <c r="HZ424" s="21"/>
      <c r="IA424" s="21"/>
      <c r="IB424" s="21"/>
      <c r="IC424" s="21"/>
    </row>
    <row r="425" spans="1:237">
      <c r="A425" s="77"/>
      <c r="B425" s="77"/>
      <c r="C425" s="77"/>
      <c r="D425" s="77"/>
      <c r="E425" s="77"/>
      <c r="F425" s="77"/>
      <c r="G425" s="77"/>
      <c r="H425" s="77"/>
      <c r="I425" s="77"/>
      <c r="J425" s="68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  <c r="DB425" s="21"/>
      <c r="DC425" s="21"/>
      <c r="DD425" s="21"/>
      <c r="DE425" s="21"/>
      <c r="DF425" s="21"/>
      <c r="DG425" s="21"/>
      <c r="DH425" s="21"/>
      <c r="DI425" s="21"/>
      <c r="DJ425" s="21"/>
      <c r="DK425" s="21"/>
      <c r="DL425" s="21"/>
      <c r="DM425" s="21"/>
      <c r="DN425" s="21"/>
      <c r="DO425" s="21"/>
      <c r="DP425" s="21"/>
      <c r="DQ425" s="21"/>
      <c r="DR425" s="21"/>
      <c r="DS425" s="21"/>
      <c r="DT425" s="21"/>
      <c r="DU425" s="21"/>
      <c r="DV425" s="21"/>
      <c r="DW425" s="21"/>
      <c r="DX425" s="21"/>
      <c r="DY425" s="21"/>
      <c r="DZ425" s="21"/>
      <c r="EA425" s="21"/>
      <c r="EB425" s="21"/>
      <c r="EC425" s="21"/>
      <c r="ED425" s="21"/>
      <c r="EE425" s="21"/>
      <c r="EF425" s="21"/>
      <c r="EG425" s="21"/>
      <c r="EH425" s="21"/>
      <c r="EI425" s="21"/>
      <c r="EJ425" s="21"/>
      <c r="EK425" s="21"/>
      <c r="EL425" s="21"/>
      <c r="EM425" s="21"/>
      <c r="EN425" s="21"/>
      <c r="EO425" s="21"/>
      <c r="EP425" s="21"/>
      <c r="EQ425" s="21"/>
      <c r="ER425" s="21"/>
      <c r="ES425" s="21"/>
      <c r="ET425" s="21"/>
      <c r="EU425" s="21"/>
      <c r="EV425" s="21"/>
      <c r="EW425" s="21"/>
      <c r="EX425" s="21"/>
      <c r="EY425" s="21"/>
      <c r="EZ425" s="21"/>
      <c r="FA425" s="21"/>
      <c r="FB425" s="21"/>
      <c r="FC425" s="21"/>
      <c r="FD425" s="21"/>
      <c r="FE425" s="21"/>
      <c r="FF425" s="21"/>
      <c r="FG425" s="21"/>
      <c r="FH425" s="21"/>
      <c r="FI425" s="21"/>
      <c r="FJ425" s="21"/>
      <c r="FK425" s="21"/>
      <c r="FL425" s="21"/>
      <c r="FM425" s="21"/>
      <c r="FN425" s="21"/>
      <c r="FO425" s="21"/>
      <c r="FP425" s="21"/>
      <c r="FQ425" s="21"/>
      <c r="FR425" s="21"/>
      <c r="FS425" s="21"/>
      <c r="FT425" s="21"/>
      <c r="FU425" s="21"/>
      <c r="FV425" s="21"/>
      <c r="FW425" s="21"/>
      <c r="FX425" s="21"/>
      <c r="FY425" s="21"/>
      <c r="FZ425" s="21"/>
      <c r="GA425" s="21"/>
      <c r="GB425" s="21"/>
      <c r="GC425" s="21"/>
      <c r="GD425" s="21"/>
      <c r="GE425" s="21"/>
      <c r="GF425" s="21"/>
      <c r="GG425" s="21"/>
      <c r="GH425" s="21"/>
      <c r="GI425" s="21"/>
      <c r="GJ425" s="21"/>
      <c r="GK425" s="21"/>
      <c r="GL425" s="21"/>
      <c r="GM425" s="21"/>
      <c r="GN425" s="21"/>
      <c r="GO425" s="21"/>
      <c r="GP425" s="21"/>
      <c r="GQ425" s="21"/>
      <c r="GR425" s="21"/>
      <c r="GS425" s="21"/>
      <c r="GT425" s="21"/>
      <c r="GU425" s="21"/>
      <c r="GV425" s="21"/>
      <c r="GW425" s="21"/>
      <c r="GX425" s="21"/>
      <c r="GY425" s="21"/>
      <c r="GZ425" s="21"/>
      <c r="HA425" s="21"/>
      <c r="HB425" s="21"/>
      <c r="HC425" s="21"/>
      <c r="HD425" s="21"/>
      <c r="HE425" s="21"/>
      <c r="HF425" s="21"/>
      <c r="HG425" s="21"/>
      <c r="HH425" s="21"/>
      <c r="HI425" s="21"/>
      <c r="HJ425" s="21"/>
      <c r="HK425" s="21"/>
      <c r="HL425" s="21"/>
      <c r="HM425" s="21"/>
      <c r="HN425" s="21"/>
      <c r="HO425" s="21"/>
      <c r="HP425" s="21"/>
      <c r="HQ425" s="21"/>
      <c r="HR425" s="21"/>
      <c r="HS425" s="21"/>
      <c r="HT425" s="21"/>
      <c r="HU425" s="21"/>
      <c r="HV425" s="21"/>
      <c r="HW425" s="21"/>
      <c r="HX425" s="21"/>
      <c r="HY425" s="21"/>
      <c r="HZ425" s="21"/>
      <c r="IA425" s="21"/>
      <c r="IB425" s="21"/>
      <c r="IC425" s="21"/>
    </row>
    <row r="426" spans="1:237">
      <c r="A426" s="77"/>
      <c r="B426" s="77"/>
      <c r="C426" s="77"/>
      <c r="D426" s="77"/>
      <c r="E426" s="77"/>
      <c r="F426" s="77"/>
      <c r="G426" s="77"/>
      <c r="H426" s="77"/>
      <c r="I426" s="77"/>
      <c r="J426" s="68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  <c r="DB426" s="21"/>
      <c r="DC426" s="21"/>
      <c r="DD426" s="21"/>
      <c r="DE426" s="21"/>
      <c r="DF426" s="21"/>
      <c r="DG426" s="21"/>
      <c r="DH426" s="21"/>
      <c r="DI426" s="21"/>
      <c r="DJ426" s="21"/>
      <c r="DK426" s="21"/>
      <c r="DL426" s="21"/>
      <c r="DM426" s="21"/>
      <c r="DN426" s="21"/>
      <c r="DO426" s="21"/>
      <c r="DP426" s="21"/>
      <c r="DQ426" s="21"/>
      <c r="DR426" s="21"/>
      <c r="DS426" s="21"/>
      <c r="DT426" s="21"/>
      <c r="DU426" s="21"/>
      <c r="DV426" s="21"/>
      <c r="DW426" s="21"/>
      <c r="DX426" s="21"/>
      <c r="DY426" s="21"/>
      <c r="DZ426" s="21"/>
      <c r="EA426" s="21"/>
      <c r="EB426" s="21"/>
      <c r="EC426" s="21"/>
      <c r="ED426" s="21"/>
      <c r="EE426" s="21"/>
      <c r="EF426" s="21"/>
      <c r="EG426" s="21"/>
      <c r="EH426" s="21"/>
      <c r="EI426" s="21"/>
      <c r="EJ426" s="21"/>
      <c r="EK426" s="21"/>
      <c r="EL426" s="21"/>
      <c r="EM426" s="21"/>
      <c r="EN426" s="21"/>
      <c r="EO426" s="21"/>
      <c r="EP426" s="21"/>
      <c r="EQ426" s="21"/>
      <c r="ER426" s="21"/>
      <c r="ES426" s="21"/>
      <c r="ET426" s="21"/>
      <c r="EU426" s="21"/>
      <c r="EV426" s="21"/>
      <c r="EW426" s="21"/>
      <c r="EX426" s="21"/>
      <c r="EY426" s="21"/>
      <c r="EZ426" s="21"/>
      <c r="FA426" s="21"/>
      <c r="FB426" s="21"/>
      <c r="FC426" s="21"/>
      <c r="FD426" s="21"/>
      <c r="FE426" s="21"/>
      <c r="FF426" s="21"/>
      <c r="FG426" s="21"/>
      <c r="FH426" s="21"/>
      <c r="FI426" s="21"/>
      <c r="FJ426" s="21"/>
      <c r="FK426" s="21"/>
      <c r="FL426" s="21"/>
      <c r="FM426" s="21"/>
      <c r="FN426" s="21"/>
      <c r="FO426" s="21"/>
      <c r="FP426" s="21"/>
      <c r="FQ426" s="21"/>
      <c r="FR426" s="21"/>
      <c r="FS426" s="21"/>
      <c r="FT426" s="21"/>
      <c r="FU426" s="21"/>
      <c r="FV426" s="21"/>
      <c r="FW426" s="21"/>
      <c r="FX426" s="21"/>
      <c r="FY426" s="21"/>
      <c r="FZ426" s="21"/>
      <c r="GA426" s="21"/>
      <c r="GB426" s="21"/>
      <c r="GC426" s="21"/>
      <c r="GD426" s="21"/>
      <c r="GE426" s="21"/>
      <c r="GF426" s="21"/>
      <c r="GG426" s="21"/>
      <c r="GH426" s="21"/>
      <c r="GI426" s="21"/>
      <c r="GJ426" s="21"/>
      <c r="GK426" s="21"/>
      <c r="GL426" s="21"/>
      <c r="GM426" s="21"/>
      <c r="GN426" s="21"/>
      <c r="GO426" s="21"/>
      <c r="GP426" s="21"/>
      <c r="GQ426" s="21"/>
      <c r="GR426" s="21"/>
      <c r="GS426" s="21"/>
      <c r="GT426" s="21"/>
      <c r="GU426" s="21"/>
      <c r="GV426" s="21"/>
      <c r="GW426" s="21"/>
      <c r="GX426" s="21"/>
      <c r="GY426" s="21"/>
      <c r="GZ426" s="21"/>
      <c r="HA426" s="21"/>
      <c r="HB426" s="21"/>
      <c r="HC426" s="21"/>
      <c r="HD426" s="21"/>
      <c r="HE426" s="21"/>
      <c r="HF426" s="21"/>
      <c r="HG426" s="21"/>
      <c r="HH426" s="21"/>
      <c r="HI426" s="21"/>
      <c r="HJ426" s="21"/>
      <c r="HK426" s="21"/>
      <c r="HL426" s="21"/>
      <c r="HM426" s="21"/>
      <c r="HN426" s="21"/>
      <c r="HO426" s="21"/>
      <c r="HP426" s="21"/>
      <c r="HQ426" s="21"/>
      <c r="HR426" s="21"/>
      <c r="HS426" s="21"/>
      <c r="HT426" s="21"/>
      <c r="HU426" s="21"/>
      <c r="HV426" s="21"/>
      <c r="HW426" s="21"/>
      <c r="HX426" s="21"/>
      <c r="HY426" s="21"/>
      <c r="HZ426" s="21"/>
      <c r="IA426" s="21"/>
      <c r="IB426" s="21"/>
      <c r="IC426" s="21"/>
    </row>
    <row r="427" spans="1:237">
      <c r="A427" s="77"/>
      <c r="B427" s="77"/>
      <c r="C427" s="77"/>
      <c r="D427" s="77"/>
      <c r="E427" s="77"/>
      <c r="F427" s="77"/>
      <c r="G427" s="77"/>
      <c r="H427" s="77"/>
      <c r="I427" s="77"/>
      <c r="J427" s="68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  <c r="DB427" s="21"/>
      <c r="DC427" s="21"/>
      <c r="DD427" s="21"/>
      <c r="DE427" s="21"/>
      <c r="DF427" s="21"/>
      <c r="DG427" s="21"/>
      <c r="DH427" s="21"/>
      <c r="DI427" s="21"/>
      <c r="DJ427" s="21"/>
      <c r="DK427" s="21"/>
      <c r="DL427" s="21"/>
      <c r="DM427" s="21"/>
      <c r="DN427" s="21"/>
      <c r="DO427" s="21"/>
      <c r="DP427" s="21"/>
      <c r="DQ427" s="21"/>
      <c r="DR427" s="21"/>
      <c r="DS427" s="21"/>
      <c r="DT427" s="21"/>
      <c r="DU427" s="21"/>
      <c r="DV427" s="21"/>
      <c r="DW427" s="21"/>
      <c r="DX427" s="21"/>
      <c r="DY427" s="21"/>
      <c r="DZ427" s="21"/>
      <c r="EA427" s="21"/>
      <c r="EB427" s="21"/>
      <c r="EC427" s="21"/>
      <c r="ED427" s="21"/>
      <c r="EE427" s="21"/>
      <c r="EF427" s="21"/>
      <c r="EG427" s="21"/>
      <c r="EH427" s="21"/>
      <c r="EI427" s="21"/>
      <c r="EJ427" s="21"/>
      <c r="EK427" s="21"/>
      <c r="EL427" s="21"/>
      <c r="EM427" s="21"/>
      <c r="EN427" s="21"/>
      <c r="EO427" s="21"/>
      <c r="EP427" s="21"/>
      <c r="EQ427" s="21"/>
      <c r="ER427" s="21"/>
      <c r="ES427" s="21"/>
      <c r="ET427" s="21"/>
      <c r="EU427" s="21"/>
      <c r="EV427" s="21"/>
      <c r="EW427" s="21"/>
      <c r="EX427" s="21"/>
      <c r="EY427" s="21"/>
      <c r="EZ427" s="21"/>
      <c r="FA427" s="21"/>
      <c r="FB427" s="21"/>
      <c r="FC427" s="21"/>
      <c r="FD427" s="21"/>
      <c r="FE427" s="21"/>
      <c r="FF427" s="21"/>
      <c r="FG427" s="21"/>
      <c r="FH427" s="21"/>
      <c r="FI427" s="21"/>
      <c r="FJ427" s="21"/>
      <c r="FK427" s="21"/>
      <c r="FL427" s="21"/>
      <c r="FM427" s="21"/>
      <c r="FN427" s="21"/>
      <c r="FO427" s="21"/>
      <c r="FP427" s="21"/>
      <c r="FQ427" s="21"/>
      <c r="FR427" s="21"/>
      <c r="FS427" s="21"/>
      <c r="FT427" s="21"/>
      <c r="FU427" s="21"/>
      <c r="FV427" s="21"/>
      <c r="FW427" s="21"/>
      <c r="FX427" s="21"/>
      <c r="FY427" s="21"/>
      <c r="FZ427" s="21"/>
      <c r="GA427" s="21"/>
      <c r="GB427" s="21"/>
      <c r="GC427" s="21"/>
      <c r="GD427" s="21"/>
      <c r="GE427" s="21"/>
      <c r="GF427" s="21"/>
      <c r="GG427" s="21"/>
      <c r="GH427" s="21"/>
      <c r="GI427" s="21"/>
      <c r="GJ427" s="21"/>
      <c r="GK427" s="21"/>
      <c r="GL427" s="21"/>
      <c r="GM427" s="21"/>
      <c r="GN427" s="21"/>
      <c r="GO427" s="21"/>
      <c r="GP427" s="21"/>
      <c r="GQ427" s="21"/>
      <c r="GR427" s="21"/>
      <c r="GS427" s="21"/>
      <c r="GT427" s="21"/>
      <c r="GU427" s="21"/>
      <c r="GV427" s="21"/>
      <c r="GW427" s="21"/>
      <c r="GX427" s="21"/>
      <c r="GY427" s="21"/>
      <c r="GZ427" s="21"/>
      <c r="HA427" s="21"/>
      <c r="HB427" s="21"/>
      <c r="HC427" s="21"/>
      <c r="HD427" s="21"/>
      <c r="HE427" s="21"/>
      <c r="HF427" s="21"/>
      <c r="HG427" s="21"/>
      <c r="HH427" s="21"/>
      <c r="HI427" s="21"/>
      <c r="HJ427" s="21"/>
      <c r="HK427" s="21"/>
      <c r="HL427" s="21"/>
      <c r="HM427" s="21"/>
      <c r="HN427" s="21"/>
      <c r="HO427" s="21"/>
      <c r="HP427" s="21"/>
      <c r="HQ427" s="21"/>
      <c r="HR427" s="21"/>
      <c r="HS427" s="21"/>
      <c r="HT427" s="21"/>
      <c r="HU427" s="21"/>
      <c r="HV427" s="21"/>
      <c r="HW427" s="21"/>
      <c r="HX427" s="21"/>
      <c r="HY427" s="21"/>
      <c r="HZ427" s="21"/>
      <c r="IA427" s="21"/>
      <c r="IB427" s="21"/>
      <c r="IC427" s="21"/>
    </row>
    <row r="428" spans="1:237">
      <c r="A428" s="77"/>
      <c r="B428" s="77"/>
      <c r="C428" s="77"/>
      <c r="D428" s="77"/>
      <c r="E428" s="77"/>
      <c r="F428" s="77"/>
      <c r="G428" s="77"/>
      <c r="H428" s="77"/>
      <c r="I428" s="77"/>
      <c r="J428" s="68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  <c r="DB428" s="21"/>
      <c r="DC428" s="21"/>
      <c r="DD428" s="21"/>
      <c r="DE428" s="21"/>
      <c r="DF428" s="21"/>
      <c r="DG428" s="21"/>
      <c r="DH428" s="21"/>
      <c r="DI428" s="21"/>
      <c r="DJ428" s="21"/>
      <c r="DK428" s="21"/>
      <c r="DL428" s="21"/>
      <c r="DM428" s="21"/>
      <c r="DN428" s="21"/>
      <c r="DO428" s="21"/>
      <c r="DP428" s="21"/>
      <c r="DQ428" s="21"/>
      <c r="DR428" s="21"/>
      <c r="DS428" s="21"/>
      <c r="DT428" s="21"/>
      <c r="DU428" s="21"/>
      <c r="DV428" s="21"/>
      <c r="DW428" s="21"/>
      <c r="DX428" s="21"/>
      <c r="DY428" s="21"/>
      <c r="DZ428" s="21"/>
      <c r="EA428" s="21"/>
      <c r="EB428" s="21"/>
      <c r="EC428" s="21"/>
      <c r="ED428" s="21"/>
      <c r="EE428" s="21"/>
      <c r="EF428" s="21"/>
      <c r="EG428" s="21"/>
      <c r="EH428" s="21"/>
      <c r="EI428" s="21"/>
      <c r="EJ428" s="21"/>
      <c r="EK428" s="21"/>
      <c r="EL428" s="21"/>
      <c r="EM428" s="21"/>
      <c r="EN428" s="21"/>
      <c r="EO428" s="21"/>
      <c r="EP428" s="21"/>
      <c r="EQ428" s="21"/>
      <c r="ER428" s="21"/>
      <c r="ES428" s="21"/>
      <c r="ET428" s="21"/>
      <c r="EU428" s="21"/>
      <c r="EV428" s="21"/>
      <c r="EW428" s="21"/>
      <c r="EX428" s="21"/>
      <c r="EY428" s="21"/>
      <c r="EZ428" s="21"/>
      <c r="FA428" s="21"/>
      <c r="FB428" s="21"/>
      <c r="FC428" s="21"/>
      <c r="FD428" s="21"/>
      <c r="FE428" s="21"/>
      <c r="FF428" s="21"/>
      <c r="FG428" s="21"/>
      <c r="FH428" s="21"/>
      <c r="FI428" s="21"/>
      <c r="FJ428" s="21"/>
      <c r="FK428" s="21"/>
      <c r="FL428" s="21"/>
      <c r="FM428" s="21"/>
      <c r="FN428" s="21"/>
      <c r="FO428" s="21"/>
      <c r="FP428" s="21"/>
      <c r="FQ428" s="21"/>
      <c r="FR428" s="21"/>
      <c r="FS428" s="21"/>
      <c r="FT428" s="21"/>
      <c r="FU428" s="21"/>
      <c r="FV428" s="21"/>
      <c r="FW428" s="21"/>
      <c r="FX428" s="21"/>
      <c r="FY428" s="21"/>
      <c r="FZ428" s="21"/>
      <c r="GA428" s="21"/>
      <c r="GB428" s="21"/>
      <c r="GC428" s="21"/>
      <c r="GD428" s="21"/>
      <c r="GE428" s="21"/>
      <c r="GF428" s="21"/>
      <c r="GG428" s="21"/>
      <c r="GH428" s="21"/>
      <c r="GI428" s="21"/>
      <c r="GJ428" s="21"/>
      <c r="GK428" s="21"/>
      <c r="GL428" s="21"/>
      <c r="GM428" s="21"/>
      <c r="GN428" s="21"/>
      <c r="GO428" s="21"/>
      <c r="GP428" s="21"/>
      <c r="GQ428" s="21"/>
      <c r="GR428" s="21"/>
      <c r="GS428" s="21"/>
      <c r="GT428" s="21"/>
      <c r="GU428" s="21"/>
      <c r="GV428" s="21"/>
      <c r="GW428" s="21"/>
      <c r="GX428" s="21"/>
      <c r="GY428" s="21"/>
      <c r="GZ428" s="21"/>
      <c r="HA428" s="21"/>
      <c r="HB428" s="21"/>
      <c r="HC428" s="21"/>
      <c r="HD428" s="21"/>
      <c r="HE428" s="21"/>
      <c r="HF428" s="21"/>
      <c r="HG428" s="21"/>
      <c r="HH428" s="21"/>
      <c r="HI428" s="21"/>
      <c r="HJ428" s="21"/>
      <c r="HK428" s="21"/>
      <c r="HL428" s="21"/>
      <c r="HM428" s="21"/>
      <c r="HN428" s="21"/>
      <c r="HO428" s="21"/>
      <c r="HP428" s="21"/>
      <c r="HQ428" s="21"/>
      <c r="HR428" s="21"/>
      <c r="HS428" s="21"/>
      <c r="HT428" s="21"/>
      <c r="HU428" s="21"/>
      <c r="HV428" s="21"/>
      <c r="HW428" s="21"/>
      <c r="HX428" s="21"/>
      <c r="HY428" s="21"/>
      <c r="HZ428" s="21"/>
      <c r="IA428" s="21"/>
      <c r="IB428" s="21"/>
      <c r="IC428" s="21"/>
    </row>
    <row r="429" spans="1:237">
      <c r="A429" s="77"/>
      <c r="B429" s="77"/>
      <c r="C429" s="77"/>
      <c r="D429" s="77"/>
      <c r="E429" s="77"/>
      <c r="F429" s="77"/>
      <c r="G429" s="77"/>
      <c r="H429" s="77"/>
      <c r="I429" s="77"/>
      <c r="J429" s="68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  <c r="DB429" s="21"/>
      <c r="DC429" s="21"/>
      <c r="DD429" s="21"/>
      <c r="DE429" s="21"/>
      <c r="DF429" s="21"/>
      <c r="DG429" s="21"/>
      <c r="DH429" s="21"/>
      <c r="DI429" s="21"/>
      <c r="DJ429" s="21"/>
      <c r="DK429" s="21"/>
      <c r="DL429" s="21"/>
      <c r="DM429" s="21"/>
      <c r="DN429" s="21"/>
      <c r="DO429" s="21"/>
      <c r="DP429" s="21"/>
      <c r="DQ429" s="21"/>
      <c r="DR429" s="21"/>
      <c r="DS429" s="21"/>
      <c r="DT429" s="21"/>
      <c r="DU429" s="21"/>
      <c r="DV429" s="21"/>
      <c r="DW429" s="21"/>
      <c r="DX429" s="21"/>
      <c r="DY429" s="21"/>
      <c r="DZ429" s="21"/>
      <c r="EA429" s="21"/>
      <c r="EB429" s="21"/>
      <c r="EC429" s="21"/>
      <c r="ED429" s="21"/>
      <c r="EE429" s="21"/>
      <c r="EF429" s="21"/>
      <c r="EG429" s="21"/>
      <c r="EH429" s="21"/>
      <c r="EI429" s="21"/>
      <c r="EJ429" s="21"/>
      <c r="EK429" s="21"/>
      <c r="EL429" s="21"/>
      <c r="EM429" s="21"/>
      <c r="EN429" s="21"/>
      <c r="EO429" s="21"/>
      <c r="EP429" s="21"/>
      <c r="EQ429" s="21"/>
      <c r="ER429" s="21"/>
      <c r="ES429" s="21"/>
      <c r="ET429" s="21"/>
      <c r="EU429" s="21"/>
      <c r="EV429" s="21"/>
      <c r="EW429" s="21"/>
      <c r="EX429" s="21"/>
      <c r="EY429" s="21"/>
      <c r="EZ429" s="21"/>
      <c r="FA429" s="21"/>
      <c r="FB429" s="21"/>
      <c r="FC429" s="21"/>
      <c r="FD429" s="21"/>
      <c r="FE429" s="21"/>
      <c r="FF429" s="21"/>
      <c r="FG429" s="21"/>
      <c r="FH429" s="21"/>
      <c r="FI429" s="21"/>
      <c r="FJ429" s="21"/>
      <c r="FK429" s="21"/>
      <c r="FL429" s="21"/>
      <c r="FM429" s="21"/>
      <c r="FN429" s="21"/>
      <c r="FO429" s="21"/>
      <c r="FP429" s="21"/>
      <c r="FQ429" s="21"/>
      <c r="FR429" s="21"/>
      <c r="FS429" s="21"/>
      <c r="FT429" s="21"/>
      <c r="FU429" s="21"/>
      <c r="FV429" s="21"/>
      <c r="FW429" s="21"/>
      <c r="FX429" s="21"/>
      <c r="FY429" s="21"/>
      <c r="FZ429" s="21"/>
      <c r="GA429" s="21"/>
      <c r="GB429" s="21"/>
      <c r="GC429" s="21"/>
      <c r="GD429" s="21"/>
      <c r="GE429" s="21"/>
      <c r="GF429" s="21"/>
      <c r="GG429" s="21"/>
      <c r="GH429" s="21"/>
      <c r="GI429" s="21"/>
      <c r="GJ429" s="21"/>
      <c r="GK429" s="21"/>
      <c r="GL429" s="21"/>
      <c r="GM429" s="21"/>
      <c r="GN429" s="21"/>
      <c r="GO429" s="21"/>
      <c r="GP429" s="21"/>
      <c r="GQ429" s="21"/>
      <c r="GR429" s="21"/>
      <c r="GS429" s="21"/>
      <c r="GT429" s="21"/>
      <c r="GU429" s="21"/>
      <c r="GV429" s="21"/>
      <c r="GW429" s="21"/>
      <c r="GX429" s="21"/>
      <c r="GY429" s="21"/>
      <c r="GZ429" s="21"/>
      <c r="HA429" s="21"/>
      <c r="HB429" s="21"/>
      <c r="HC429" s="21"/>
      <c r="HD429" s="21"/>
      <c r="HE429" s="21"/>
      <c r="HF429" s="21"/>
      <c r="HG429" s="21"/>
      <c r="HH429" s="21"/>
      <c r="HI429" s="21"/>
      <c r="HJ429" s="21"/>
      <c r="HK429" s="21"/>
      <c r="HL429" s="21"/>
      <c r="HM429" s="21"/>
      <c r="HN429" s="21"/>
      <c r="HO429" s="21"/>
      <c r="HP429" s="21"/>
      <c r="HQ429" s="21"/>
      <c r="HR429" s="21"/>
      <c r="HS429" s="21"/>
      <c r="HT429" s="21"/>
      <c r="HU429" s="21"/>
      <c r="HV429" s="21"/>
      <c r="HW429" s="21"/>
      <c r="HX429" s="21"/>
      <c r="HY429" s="21"/>
      <c r="HZ429" s="21"/>
      <c r="IA429" s="21"/>
      <c r="IB429" s="21"/>
      <c r="IC429" s="21"/>
    </row>
    <row r="430" spans="1:237">
      <c r="A430" s="77"/>
      <c r="B430" s="77"/>
      <c r="C430" s="77"/>
      <c r="D430" s="77"/>
      <c r="E430" s="77"/>
      <c r="F430" s="77"/>
      <c r="G430" s="77"/>
      <c r="H430" s="77"/>
      <c r="I430" s="77"/>
      <c r="J430" s="68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  <c r="DB430" s="21"/>
      <c r="DC430" s="21"/>
      <c r="DD430" s="21"/>
      <c r="DE430" s="21"/>
      <c r="DF430" s="21"/>
      <c r="DG430" s="21"/>
      <c r="DH430" s="21"/>
      <c r="DI430" s="21"/>
      <c r="DJ430" s="21"/>
      <c r="DK430" s="21"/>
      <c r="DL430" s="21"/>
      <c r="DM430" s="21"/>
      <c r="DN430" s="21"/>
      <c r="DO430" s="21"/>
      <c r="DP430" s="21"/>
      <c r="DQ430" s="21"/>
      <c r="DR430" s="21"/>
      <c r="DS430" s="21"/>
      <c r="DT430" s="21"/>
      <c r="DU430" s="21"/>
      <c r="DV430" s="21"/>
      <c r="DW430" s="21"/>
      <c r="DX430" s="21"/>
      <c r="DY430" s="21"/>
      <c r="DZ430" s="21"/>
      <c r="EA430" s="21"/>
      <c r="EB430" s="21"/>
      <c r="EC430" s="21"/>
      <c r="ED430" s="21"/>
      <c r="EE430" s="21"/>
      <c r="EF430" s="21"/>
      <c r="EG430" s="21"/>
      <c r="EH430" s="21"/>
      <c r="EI430" s="21"/>
      <c r="EJ430" s="21"/>
      <c r="EK430" s="21"/>
      <c r="EL430" s="21"/>
      <c r="EM430" s="21"/>
      <c r="EN430" s="21"/>
      <c r="EO430" s="21"/>
      <c r="EP430" s="21"/>
      <c r="EQ430" s="21"/>
      <c r="ER430" s="21"/>
      <c r="ES430" s="21"/>
      <c r="ET430" s="21"/>
      <c r="EU430" s="21"/>
      <c r="EV430" s="21"/>
      <c r="EW430" s="21"/>
      <c r="EX430" s="21"/>
      <c r="EY430" s="21"/>
      <c r="EZ430" s="21"/>
      <c r="FA430" s="21"/>
      <c r="FB430" s="21"/>
      <c r="FC430" s="21"/>
      <c r="FD430" s="21"/>
      <c r="FE430" s="21"/>
      <c r="FF430" s="21"/>
      <c r="FG430" s="21"/>
      <c r="FH430" s="21"/>
      <c r="FI430" s="21"/>
      <c r="FJ430" s="21"/>
      <c r="FK430" s="21"/>
      <c r="FL430" s="21"/>
      <c r="FM430" s="21"/>
      <c r="FN430" s="21"/>
      <c r="FO430" s="21"/>
      <c r="FP430" s="21"/>
      <c r="FQ430" s="21"/>
      <c r="FR430" s="21"/>
      <c r="FS430" s="21"/>
      <c r="FT430" s="21"/>
      <c r="FU430" s="21"/>
      <c r="FV430" s="21"/>
      <c r="FW430" s="21"/>
      <c r="FX430" s="21"/>
      <c r="FY430" s="21"/>
      <c r="FZ430" s="21"/>
      <c r="GA430" s="21"/>
      <c r="GB430" s="21"/>
      <c r="GC430" s="21"/>
      <c r="GD430" s="21"/>
      <c r="GE430" s="21"/>
      <c r="GF430" s="21"/>
      <c r="GG430" s="21"/>
      <c r="GH430" s="21"/>
      <c r="GI430" s="21"/>
      <c r="GJ430" s="21"/>
      <c r="GK430" s="21"/>
      <c r="GL430" s="21"/>
      <c r="GM430" s="21"/>
      <c r="GN430" s="21"/>
      <c r="GO430" s="21"/>
      <c r="GP430" s="21"/>
      <c r="GQ430" s="21"/>
      <c r="GR430" s="21"/>
      <c r="GS430" s="21"/>
      <c r="GT430" s="21"/>
      <c r="GU430" s="21"/>
      <c r="GV430" s="21"/>
      <c r="GW430" s="21"/>
      <c r="GX430" s="21"/>
      <c r="GY430" s="21"/>
      <c r="GZ430" s="21"/>
      <c r="HA430" s="21"/>
      <c r="HB430" s="21"/>
      <c r="HC430" s="21"/>
      <c r="HD430" s="21"/>
      <c r="HE430" s="21"/>
      <c r="HF430" s="21"/>
      <c r="HG430" s="21"/>
      <c r="HH430" s="21"/>
      <c r="HI430" s="21"/>
      <c r="HJ430" s="21"/>
      <c r="HK430" s="21"/>
      <c r="HL430" s="21"/>
      <c r="HM430" s="21"/>
      <c r="HN430" s="21"/>
      <c r="HO430" s="21"/>
      <c r="HP430" s="21"/>
      <c r="HQ430" s="21"/>
      <c r="HR430" s="21"/>
      <c r="HS430" s="21"/>
      <c r="HT430" s="21"/>
      <c r="HU430" s="21"/>
      <c r="HV430" s="21"/>
      <c r="HW430" s="21"/>
      <c r="HX430" s="21"/>
      <c r="HY430" s="21"/>
      <c r="HZ430" s="21"/>
      <c r="IA430" s="21"/>
      <c r="IB430" s="21"/>
      <c r="IC430" s="21"/>
    </row>
    <row r="431" spans="1:237">
      <c r="A431" s="77"/>
      <c r="B431" s="77"/>
      <c r="C431" s="77"/>
      <c r="D431" s="77"/>
      <c r="E431" s="77"/>
      <c r="F431" s="77"/>
      <c r="G431" s="77"/>
      <c r="H431" s="77"/>
      <c r="I431" s="77"/>
      <c r="J431" s="68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  <c r="DB431" s="21"/>
      <c r="DC431" s="21"/>
      <c r="DD431" s="21"/>
      <c r="DE431" s="21"/>
      <c r="DF431" s="21"/>
      <c r="DG431" s="21"/>
      <c r="DH431" s="21"/>
      <c r="DI431" s="21"/>
      <c r="DJ431" s="21"/>
      <c r="DK431" s="21"/>
      <c r="DL431" s="21"/>
      <c r="DM431" s="21"/>
      <c r="DN431" s="21"/>
      <c r="DO431" s="21"/>
      <c r="DP431" s="21"/>
      <c r="DQ431" s="21"/>
      <c r="DR431" s="21"/>
      <c r="DS431" s="21"/>
      <c r="DT431" s="21"/>
      <c r="DU431" s="21"/>
      <c r="DV431" s="21"/>
      <c r="DW431" s="21"/>
      <c r="DX431" s="21"/>
      <c r="DY431" s="21"/>
      <c r="DZ431" s="21"/>
      <c r="EA431" s="21"/>
      <c r="EB431" s="21"/>
      <c r="EC431" s="21"/>
      <c r="ED431" s="21"/>
      <c r="EE431" s="21"/>
      <c r="EF431" s="21"/>
      <c r="EG431" s="21"/>
      <c r="EH431" s="21"/>
      <c r="EI431" s="21"/>
      <c r="EJ431" s="21"/>
      <c r="EK431" s="21"/>
      <c r="EL431" s="21"/>
      <c r="EM431" s="21"/>
      <c r="EN431" s="21"/>
      <c r="EO431" s="21"/>
      <c r="EP431" s="21"/>
      <c r="EQ431" s="21"/>
      <c r="ER431" s="21"/>
      <c r="ES431" s="21"/>
      <c r="ET431" s="21"/>
      <c r="EU431" s="21"/>
      <c r="EV431" s="21"/>
      <c r="EW431" s="21"/>
      <c r="EX431" s="21"/>
      <c r="EY431" s="21"/>
      <c r="EZ431" s="21"/>
      <c r="FA431" s="21"/>
      <c r="FB431" s="21"/>
      <c r="FC431" s="21"/>
      <c r="FD431" s="21"/>
      <c r="FE431" s="21"/>
      <c r="FF431" s="21"/>
      <c r="FG431" s="21"/>
      <c r="FH431" s="21"/>
      <c r="FI431" s="21"/>
      <c r="FJ431" s="21"/>
      <c r="FK431" s="21"/>
      <c r="FL431" s="21"/>
      <c r="FM431" s="21"/>
      <c r="FN431" s="21"/>
      <c r="FO431" s="21"/>
      <c r="FP431" s="21"/>
      <c r="FQ431" s="21"/>
      <c r="FR431" s="21"/>
      <c r="FS431" s="21"/>
      <c r="FT431" s="21"/>
      <c r="FU431" s="21"/>
      <c r="FV431" s="21"/>
      <c r="FW431" s="21"/>
      <c r="FX431" s="21"/>
      <c r="FY431" s="21"/>
      <c r="FZ431" s="21"/>
      <c r="GA431" s="21"/>
      <c r="GB431" s="21"/>
      <c r="GC431" s="21"/>
      <c r="GD431" s="21"/>
      <c r="GE431" s="21"/>
      <c r="GF431" s="21"/>
      <c r="GG431" s="21"/>
      <c r="GH431" s="21"/>
      <c r="GI431" s="21"/>
      <c r="GJ431" s="21"/>
      <c r="GK431" s="21"/>
      <c r="GL431" s="21"/>
      <c r="GM431" s="21"/>
      <c r="GN431" s="21"/>
      <c r="GO431" s="21"/>
      <c r="GP431" s="21"/>
      <c r="GQ431" s="21"/>
      <c r="GR431" s="21"/>
      <c r="GS431" s="21"/>
      <c r="GT431" s="21"/>
      <c r="GU431" s="21"/>
      <c r="GV431" s="21"/>
      <c r="GW431" s="21"/>
      <c r="GX431" s="21"/>
      <c r="GY431" s="21"/>
      <c r="GZ431" s="21"/>
      <c r="HA431" s="21"/>
      <c r="HB431" s="21"/>
      <c r="HC431" s="21"/>
      <c r="HD431" s="21"/>
      <c r="HE431" s="21"/>
      <c r="HF431" s="21"/>
      <c r="HG431" s="21"/>
      <c r="HH431" s="21"/>
      <c r="HI431" s="21"/>
      <c r="HJ431" s="21"/>
      <c r="HK431" s="21"/>
      <c r="HL431" s="21"/>
      <c r="HM431" s="21"/>
      <c r="HN431" s="21"/>
      <c r="HO431" s="21"/>
      <c r="HP431" s="21"/>
      <c r="HQ431" s="21"/>
      <c r="HR431" s="21"/>
      <c r="HS431" s="21"/>
      <c r="HT431" s="21"/>
      <c r="HU431" s="21"/>
      <c r="HV431" s="21"/>
      <c r="HW431" s="21"/>
      <c r="HX431" s="21"/>
      <c r="HY431" s="21"/>
      <c r="HZ431" s="21"/>
      <c r="IA431" s="21"/>
      <c r="IB431" s="21"/>
      <c r="IC431" s="21"/>
    </row>
    <row r="432" spans="1:237">
      <c r="A432" s="77"/>
      <c r="B432" s="77"/>
      <c r="C432" s="77"/>
      <c r="D432" s="77"/>
      <c r="E432" s="77"/>
      <c r="F432" s="77"/>
      <c r="G432" s="77"/>
      <c r="H432" s="77"/>
      <c r="I432" s="77"/>
      <c r="J432" s="68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  <c r="DB432" s="21"/>
      <c r="DC432" s="21"/>
      <c r="DD432" s="21"/>
      <c r="DE432" s="21"/>
      <c r="DF432" s="21"/>
      <c r="DG432" s="21"/>
      <c r="DH432" s="21"/>
      <c r="DI432" s="21"/>
      <c r="DJ432" s="21"/>
      <c r="DK432" s="21"/>
      <c r="DL432" s="21"/>
      <c r="DM432" s="21"/>
      <c r="DN432" s="21"/>
      <c r="DO432" s="21"/>
      <c r="DP432" s="21"/>
      <c r="DQ432" s="21"/>
      <c r="DR432" s="21"/>
      <c r="DS432" s="21"/>
      <c r="DT432" s="21"/>
      <c r="DU432" s="21"/>
      <c r="DV432" s="21"/>
      <c r="DW432" s="21"/>
      <c r="DX432" s="21"/>
      <c r="DY432" s="21"/>
      <c r="DZ432" s="21"/>
      <c r="EA432" s="21"/>
      <c r="EB432" s="21"/>
      <c r="EC432" s="21"/>
      <c r="ED432" s="21"/>
      <c r="EE432" s="21"/>
      <c r="EF432" s="21"/>
      <c r="EG432" s="21"/>
      <c r="EH432" s="21"/>
      <c r="EI432" s="21"/>
      <c r="EJ432" s="21"/>
      <c r="EK432" s="21"/>
      <c r="EL432" s="21"/>
      <c r="EM432" s="21"/>
      <c r="EN432" s="21"/>
      <c r="EO432" s="21"/>
      <c r="EP432" s="21"/>
      <c r="EQ432" s="21"/>
      <c r="ER432" s="21"/>
      <c r="ES432" s="21"/>
      <c r="ET432" s="21"/>
      <c r="EU432" s="21"/>
      <c r="EV432" s="21"/>
      <c r="EW432" s="21"/>
      <c r="EX432" s="21"/>
      <c r="EY432" s="21"/>
      <c r="EZ432" s="21"/>
      <c r="FA432" s="21"/>
      <c r="FB432" s="21"/>
      <c r="FC432" s="21"/>
      <c r="FD432" s="21"/>
      <c r="FE432" s="21"/>
      <c r="FF432" s="21"/>
      <c r="FG432" s="21"/>
      <c r="FH432" s="21"/>
      <c r="FI432" s="21"/>
      <c r="FJ432" s="21"/>
      <c r="FK432" s="21"/>
      <c r="FL432" s="21"/>
      <c r="FM432" s="21"/>
      <c r="FN432" s="21"/>
      <c r="FO432" s="21"/>
      <c r="FP432" s="21"/>
      <c r="FQ432" s="21"/>
      <c r="FR432" s="21"/>
      <c r="FS432" s="21"/>
      <c r="FT432" s="21"/>
      <c r="FU432" s="21"/>
      <c r="FV432" s="21"/>
      <c r="FW432" s="21"/>
      <c r="FX432" s="21"/>
      <c r="FY432" s="21"/>
      <c r="FZ432" s="21"/>
      <c r="GA432" s="21"/>
      <c r="GB432" s="21"/>
      <c r="GC432" s="21"/>
      <c r="GD432" s="21"/>
      <c r="GE432" s="21"/>
      <c r="GF432" s="21"/>
      <c r="GG432" s="21"/>
      <c r="GH432" s="21"/>
      <c r="GI432" s="21"/>
      <c r="GJ432" s="21"/>
      <c r="GK432" s="21"/>
      <c r="GL432" s="21"/>
      <c r="GM432" s="21"/>
      <c r="GN432" s="21"/>
      <c r="GO432" s="21"/>
      <c r="GP432" s="21"/>
      <c r="GQ432" s="21"/>
      <c r="GR432" s="21"/>
      <c r="GS432" s="21"/>
      <c r="GT432" s="21"/>
      <c r="GU432" s="21"/>
      <c r="GV432" s="21"/>
      <c r="GW432" s="21"/>
      <c r="GX432" s="21"/>
      <c r="GY432" s="21"/>
      <c r="GZ432" s="21"/>
      <c r="HA432" s="21"/>
      <c r="HB432" s="21"/>
      <c r="HC432" s="21"/>
      <c r="HD432" s="21"/>
      <c r="HE432" s="21"/>
      <c r="HF432" s="21"/>
      <c r="HG432" s="21"/>
      <c r="HH432" s="21"/>
      <c r="HI432" s="21"/>
      <c r="HJ432" s="21"/>
      <c r="HK432" s="21"/>
      <c r="HL432" s="21"/>
      <c r="HM432" s="21"/>
      <c r="HN432" s="21"/>
      <c r="HO432" s="21"/>
      <c r="HP432" s="21"/>
      <c r="HQ432" s="21"/>
      <c r="HR432" s="21"/>
      <c r="HS432" s="21"/>
      <c r="HT432" s="21"/>
      <c r="HU432" s="21"/>
      <c r="HV432" s="21"/>
      <c r="HW432" s="21"/>
      <c r="HX432" s="21"/>
      <c r="HY432" s="21"/>
      <c r="HZ432" s="21"/>
      <c r="IA432" s="21"/>
      <c r="IB432" s="21"/>
      <c r="IC432" s="21"/>
    </row>
    <row r="433" spans="1:237">
      <c r="A433" s="77"/>
      <c r="B433" s="77"/>
      <c r="C433" s="77"/>
      <c r="D433" s="77"/>
      <c r="E433" s="77"/>
      <c r="F433" s="77"/>
      <c r="G433" s="77"/>
      <c r="H433" s="77"/>
      <c r="I433" s="77"/>
      <c r="J433" s="68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  <c r="DB433" s="21"/>
      <c r="DC433" s="21"/>
      <c r="DD433" s="21"/>
      <c r="DE433" s="21"/>
      <c r="DF433" s="21"/>
      <c r="DG433" s="21"/>
      <c r="DH433" s="21"/>
      <c r="DI433" s="21"/>
      <c r="DJ433" s="21"/>
      <c r="DK433" s="21"/>
      <c r="DL433" s="21"/>
      <c r="DM433" s="21"/>
      <c r="DN433" s="21"/>
      <c r="DO433" s="21"/>
      <c r="DP433" s="21"/>
      <c r="DQ433" s="21"/>
      <c r="DR433" s="21"/>
      <c r="DS433" s="21"/>
      <c r="DT433" s="21"/>
      <c r="DU433" s="21"/>
      <c r="DV433" s="21"/>
      <c r="DW433" s="21"/>
      <c r="DX433" s="21"/>
      <c r="DY433" s="21"/>
      <c r="DZ433" s="21"/>
      <c r="EA433" s="21"/>
      <c r="EB433" s="21"/>
      <c r="EC433" s="21"/>
      <c r="ED433" s="21"/>
      <c r="EE433" s="21"/>
      <c r="EF433" s="21"/>
      <c r="EG433" s="21"/>
      <c r="EH433" s="21"/>
      <c r="EI433" s="21"/>
      <c r="EJ433" s="21"/>
      <c r="EK433" s="21"/>
      <c r="EL433" s="21"/>
      <c r="EM433" s="21"/>
      <c r="EN433" s="21"/>
      <c r="EO433" s="21"/>
      <c r="EP433" s="21"/>
      <c r="EQ433" s="21"/>
      <c r="ER433" s="21"/>
      <c r="ES433" s="21"/>
      <c r="ET433" s="21"/>
      <c r="EU433" s="21"/>
      <c r="EV433" s="21"/>
      <c r="EW433" s="21"/>
      <c r="EX433" s="21"/>
      <c r="EY433" s="21"/>
      <c r="EZ433" s="21"/>
      <c r="FA433" s="21"/>
      <c r="FB433" s="21"/>
      <c r="FC433" s="21"/>
      <c r="FD433" s="21"/>
      <c r="FE433" s="21"/>
      <c r="FF433" s="21"/>
      <c r="FG433" s="21"/>
      <c r="FH433" s="21"/>
      <c r="FI433" s="21"/>
      <c r="FJ433" s="21"/>
      <c r="FK433" s="21"/>
      <c r="FL433" s="21"/>
      <c r="FM433" s="21"/>
      <c r="FN433" s="21"/>
      <c r="FO433" s="21"/>
      <c r="FP433" s="21"/>
      <c r="FQ433" s="21"/>
      <c r="FR433" s="21"/>
      <c r="FS433" s="21"/>
      <c r="FT433" s="21"/>
      <c r="FU433" s="21"/>
      <c r="FV433" s="21"/>
      <c r="FW433" s="21"/>
      <c r="FX433" s="21"/>
      <c r="FY433" s="21"/>
      <c r="FZ433" s="21"/>
      <c r="GA433" s="21"/>
      <c r="GB433" s="21"/>
      <c r="GC433" s="21"/>
      <c r="GD433" s="21"/>
      <c r="GE433" s="21"/>
      <c r="GF433" s="21"/>
      <c r="GG433" s="21"/>
      <c r="GH433" s="21"/>
      <c r="GI433" s="21"/>
      <c r="GJ433" s="21"/>
      <c r="GK433" s="21"/>
      <c r="GL433" s="21"/>
      <c r="GM433" s="21"/>
      <c r="GN433" s="21"/>
      <c r="GO433" s="21"/>
      <c r="GP433" s="21"/>
      <c r="GQ433" s="21"/>
      <c r="GR433" s="21"/>
      <c r="GS433" s="21"/>
      <c r="GT433" s="21"/>
      <c r="GU433" s="21"/>
      <c r="GV433" s="21"/>
      <c r="GW433" s="21"/>
      <c r="GX433" s="21"/>
      <c r="GY433" s="21"/>
      <c r="GZ433" s="21"/>
      <c r="HA433" s="21"/>
      <c r="HB433" s="21"/>
      <c r="HC433" s="21"/>
      <c r="HD433" s="21"/>
      <c r="HE433" s="21"/>
      <c r="HF433" s="21"/>
      <c r="HG433" s="21"/>
      <c r="HH433" s="21"/>
      <c r="HI433" s="21"/>
      <c r="HJ433" s="21"/>
      <c r="HK433" s="21"/>
      <c r="HL433" s="21"/>
      <c r="HM433" s="21"/>
      <c r="HN433" s="21"/>
      <c r="HO433" s="21"/>
      <c r="HP433" s="21"/>
      <c r="HQ433" s="21"/>
      <c r="HR433" s="21"/>
      <c r="HS433" s="21"/>
      <c r="HT433" s="21"/>
      <c r="HU433" s="21"/>
      <c r="HV433" s="21"/>
      <c r="HW433" s="21"/>
      <c r="HX433" s="21"/>
      <c r="HY433" s="21"/>
      <c r="HZ433" s="21"/>
      <c r="IA433" s="21"/>
      <c r="IB433" s="21"/>
      <c r="IC433" s="21"/>
    </row>
    <row r="434" spans="1:237">
      <c r="A434" s="77"/>
      <c r="B434" s="77"/>
      <c r="C434" s="77"/>
      <c r="D434" s="77"/>
      <c r="E434" s="77"/>
      <c r="F434" s="77"/>
      <c r="G434" s="77"/>
      <c r="H434" s="77"/>
      <c r="I434" s="77"/>
      <c r="J434" s="68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  <c r="DB434" s="21"/>
      <c r="DC434" s="21"/>
      <c r="DD434" s="21"/>
      <c r="DE434" s="21"/>
      <c r="DF434" s="21"/>
      <c r="DG434" s="21"/>
      <c r="DH434" s="21"/>
      <c r="DI434" s="21"/>
      <c r="DJ434" s="21"/>
      <c r="DK434" s="21"/>
      <c r="DL434" s="21"/>
      <c r="DM434" s="21"/>
      <c r="DN434" s="21"/>
      <c r="DO434" s="21"/>
      <c r="DP434" s="21"/>
      <c r="DQ434" s="21"/>
      <c r="DR434" s="21"/>
      <c r="DS434" s="21"/>
      <c r="DT434" s="21"/>
      <c r="DU434" s="21"/>
      <c r="DV434" s="21"/>
      <c r="DW434" s="21"/>
      <c r="DX434" s="21"/>
      <c r="DY434" s="21"/>
      <c r="DZ434" s="21"/>
      <c r="EA434" s="21"/>
      <c r="EB434" s="21"/>
      <c r="EC434" s="21"/>
      <c r="ED434" s="21"/>
      <c r="EE434" s="21"/>
      <c r="EF434" s="21"/>
      <c r="EG434" s="21"/>
      <c r="EH434" s="21"/>
      <c r="EI434" s="21"/>
      <c r="EJ434" s="21"/>
      <c r="EK434" s="21"/>
      <c r="EL434" s="21"/>
      <c r="EM434" s="21"/>
      <c r="EN434" s="21"/>
      <c r="EO434" s="21"/>
      <c r="EP434" s="21"/>
      <c r="EQ434" s="21"/>
      <c r="ER434" s="21"/>
      <c r="ES434" s="21"/>
      <c r="ET434" s="21"/>
      <c r="EU434" s="21"/>
      <c r="EV434" s="21"/>
      <c r="EW434" s="21"/>
      <c r="EX434" s="21"/>
      <c r="EY434" s="21"/>
      <c r="EZ434" s="21"/>
      <c r="FA434" s="21"/>
      <c r="FB434" s="21"/>
      <c r="FC434" s="21"/>
      <c r="FD434" s="21"/>
      <c r="FE434" s="21"/>
      <c r="FF434" s="21"/>
      <c r="FG434" s="21"/>
      <c r="FH434" s="21"/>
      <c r="FI434" s="21"/>
      <c r="FJ434" s="21"/>
      <c r="FK434" s="21"/>
      <c r="FL434" s="21"/>
      <c r="FM434" s="21"/>
      <c r="FN434" s="21"/>
      <c r="FO434" s="21"/>
      <c r="FP434" s="21"/>
      <c r="FQ434" s="21"/>
      <c r="FR434" s="21"/>
      <c r="FS434" s="21"/>
      <c r="FT434" s="21"/>
      <c r="FU434" s="21"/>
      <c r="FV434" s="21"/>
      <c r="FW434" s="21"/>
      <c r="FX434" s="21"/>
      <c r="FY434" s="21"/>
      <c r="FZ434" s="21"/>
      <c r="GA434" s="21"/>
      <c r="GB434" s="21"/>
      <c r="GC434" s="21"/>
      <c r="GD434" s="21"/>
      <c r="GE434" s="21"/>
      <c r="GF434" s="21"/>
      <c r="GG434" s="21"/>
      <c r="GH434" s="21"/>
      <c r="GI434" s="21"/>
      <c r="GJ434" s="21"/>
      <c r="GK434" s="21"/>
      <c r="GL434" s="21"/>
      <c r="GM434" s="21"/>
      <c r="GN434" s="21"/>
      <c r="GO434" s="21"/>
      <c r="GP434" s="21"/>
      <c r="GQ434" s="21"/>
      <c r="GR434" s="21"/>
      <c r="GS434" s="21"/>
      <c r="GT434" s="21"/>
      <c r="GU434" s="21"/>
      <c r="GV434" s="21"/>
      <c r="GW434" s="21"/>
      <c r="GX434" s="21"/>
      <c r="GY434" s="21"/>
      <c r="GZ434" s="21"/>
      <c r="HA434" s="21"/>
      <c r="HB434" s="21"/>
      <c r="HC434" s="21"/>
      <c r="HD434" s="21"/>
      <c r="HE434" s="21"/>
      <c r="HF434" s="21"/>
      <c r="HG434" s="21"/>
      <c r="HH434" s="21"/>
      <c r="HI434" s="21"/>
      <c r="HJ434" s="21"/>
      <c r="HK434" s="21"/>
      <c r="HL434" s="21"/>
      <c r="HM434" s="21"/>
      <c r="HN434" s="21"/>
      <c r="HO434" s="21"/>
      <c r="HP434" s="21"/>
      <c r="HQ434" s="21"/>
      <c r="HR434" s="21"/>
      <c r="HS434" s="21"/>
      <c r="HT434" s="21"/>
      <c r="HU434" s="21"/>
      <c r="HV434" s="21"/>
      <c r="HW434" s="21"/>
      <c r="HX434" s="21"/>
      <c r="HY434" s="21"/>
      <c r="HZ434" s="21"/>
      <c r="IA434" s="21"/>
      <c r="IB434" s="21"/>
      <c r="IC434" s="21"/>
    </row>
    <row r="435" spans="1:237">
      <c r="A435" s="77"/>
      <c r="B435" s="77"/>
      <c r="C435" s="77"/>
      <c r="D435" s="77"/>
      <c r="E435" s="77"/>
      <c r="F435" s="77"/>
      <c r="G435" s="77"/>
      <c r="H435" s="77"/>
      <c r="I435" s="77"/>
      <c r="J435" s="68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  <c r="DB435" s="21"/>
      <c r="DC435" s="21"/>
      <c r="DD435" s="21"/>
      <c r="DE435" s="21"/>
      <c r="DF435" s="21"/>
      <c r="DG435" s="21"/>
      <c r="DH435" s="21"/>
      <c r="DI435" s="21"/>
      <c r="DJ435" s="21"/>
      <c r="DK435" s="21"/>
      <c r="DL435" s="21"/>
      <c r="DM435" s="21"/>
      <c r="DN435" s="21"/>
      <c r="DO435" s="21"/>
      <c r="DP435" s="21"/>
      <c r="DQ435" s="21"/>
      <c r="DR435" s="21"/>
      <c r="DS435" s="21"/>
      <c r="DT435" s="21"/>
      <c r="DU435" s="21"/>
      <c r="DV435" s="21"/>
      <c r="DW435" s="21"/>
      <c r="DX435" s="21"/>
      <c r="DY435" s="21"/>
      <c r="DZ435" s="21"/>
      <c r="EA435" s="21"/>
      <c r="EB435" s="21"/>
      <c r="EC435" s="21"/>
      <c r="ED435" s="21"/>
      <c r="EE435" s="21"/>
      <c r="EF435" s="21"/>
      <c r="EG435" s="21"/>
      <c r="EH435" s="21"/>
      <c r="EI435" s="21"/>
      <c r="EJ435" s="21"/>
      <c r="EK435" s="21"/>
      <c r="EL435" s="21"/>
      <c r="EM435" s="21"/>
      <c r="EN435" s="21"/>
      <c r="EO435" s="21"/>
      <c r="EP435" s="21"/>
      <c r="EQ435" s="21"/>
      <c r="ER435" s="21"/>
      <c r="ES435" s="21"/>
      <c r="ET435" s="21"/>
      <c r="EU435" s="21"/>
      <c r="EV435" s="21"/>
      <c r="EW435" s="21"/>
      <c r="EX435" s="21"/>
      <c r="EY435" s="21"/>
      <c r="EZ435" s="21"/>
      <c r="FA435" s="21"/>
      <c r="FB435" s="21"/>
      <c r="FC435" s="21"/>
      <c r="FD435" s="21"/>
      <c r="FE435" s="21"/>
      <c r="FF435" s="21"/>
      <c r="FG435" s="21"/>
      <c r="FH435" s="21"/>
      <c r="FI435" s="21"/>
      <c r="FJ435" s="21"/>
      <c r="FK435" s="21"/>
      <c r="FL435" s="21"/>
      <c r="FM435" s="21"/>
      <c r="FN435" s="21"/>
      <c r="FO435" s="21"/>
      <c r="FP435" s="21"/>
      <c r="FQ435" s="21"/>
      <c r="FR435" s="21"/>
      <c r="FS435" s="21"/>
      <c r="FT435" s="21"/>
      <c r="FU435" s="21"/>
      <c r="FV435" s="21"/>
      <c r="FW435" s="21"/>
      <c r="FX435" s="21"/>
      <c r="FY435" s="21"/>
      <c r="FZ435" s="21"/>
      <c r="GA435" s="21"/>
      <c r="GB435" s="21"/>
      <c r="GC435" s="21"/>
      <c r="GD435" s="21"/>
      <c r="GE435" s="21"/>
      <c r="GF435" s="21"/>
      <c r="GG435" s="21"/>
      <c r="GH435" s="21"/>
      <c r="GI435" s="21"/>
      <c r="GJ435" s="21"/>
      <c r="GK435" s="21"/>
      <c r="GL435" s="21"/>
      <c r="GM435" s="21"/>
      <c r="GN435" s="21"/>
      <c r="GO435" s="21"/>
      <c r="GP435" s="21"/>
      <c r="GQ435" s="21"/>
      <c r="GR435" s="21"/>
      <c r="GS435" s="21"/>
      <c r="GT435" s="21"/>
      <c r="GU435" s="21"/>
      <c r="GV435" s="21"/>
      <c r="GW435" s="21"/>
      <c r="GX435" s="21"/>
      <c r="GY435" s="21"/>
      <c r="GZ435" s="21"/>
      <c r="HA435" s="21"/>
      <c r="HB435" s="21"/>
      <c r="HC435" s="21"/>
      <c r="HD435" s="21"/>
      <c r="HE435" s="21"/>
      <c r="HF435" s="21"/>
      <c r="HG435" s="21"/>
      <c r="HH435" s="21"/>
      <c r="HI435" s="21"/>
      <c r="HJ435" s="21"/>
      <c r="HK435" s="21"/>
      <c r="HL435" s="21"/>
      <c r="HM435" s="21"/>
      <c r="HN435" s="21"/>
      <c r="HO435" s="21"/>
      <c r="HP435" s="21"/>
      <c r="HQ435" s="21"/>
      <c r="HR435" s="21"/>
      <c r="HS435" s="21"/>
      <c r="HT435" s="21"/>
      <c r="HU435" s="21"/>
      <c r="HV435" s="21"/>
      <c r="HW435" s="21"/>
      <c r="HX435" s="21"/>
      <c r="HY435" s="21"/>
      <c r="HZ435" s="21"/>
      <c r="IA435" s="21"/>
      <c r="IB435" s="21"/>
      <c r="IC435" s="21"/>
    </row>
    <row r="436" spans="1:237">
      <c r="A436" s="77"/>
      <c r="B436" s="77"/>
      <c r="C436" s="77"/>
      <c r="D436" s="77"/>
      <c r="E436" s="77"/>
      <c r="F436" s="77"/>
      <c r="G436" s="77"/>
      <c r="H436" s="77"/>
      <c r="I436" s="77"/>
      <c r="J436" s="68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  <c r="DB436" s="21"/>
      <c r="DC436" s="21"/>
      <c r="DD436" s="21"/>
      <c r="DE436" s="21"/>
      <c r="DF436" s="21"/>
      <c r="DG436" s="21"/>
      <c r="DH436" s="21"/>
      <c r="DI436" s="21"/>
      <c r="DJ436" s="21"/>
      <c r="DK436" s="21"/>
      <c r="DL436" s="21"/>
      <c r="DM436" s="21"/>
      <c r="DN436" s="21"/>
      <c r="DO436" s="21"/>
      <c r="DP436" s="21"/>
      <c r="DQ436" s="21"/>
      <c r="DR436" s="21"/>
      <c r="DS436" s="21"/>
      <c r="DT436" s="21"/>
      <c r="DU436" s="21"/>
      <c r="DV436" s="21"/>
      <c r="DW436" s="21"/>
      <c r="DX436" s="21"/>
      <c r="DY436" s="21"/>
      <c r="DZ436" s="21"/>
      <c r="EA436" s="21"/>
      <c r="EB436" s="21"/>
      <c r="EC436" s="21"/>
      <c r="ED436" s="21"/>
      <c r="EE436" s="21"/>
      <c r="EF436" s="21"/>
      <c r="EG436" s="21"/>
      <c r="EH436" s="21"/>
      <c r="EI436" s="21"/>
      <c r="EJ436" s="21"/>
      <c r="EK436" s="21"/>
      <c r="EL436" s="21"/>
      <c r="EM436" s="21"/>
      <c r="EN436" s="21"/>
      <c r="EO436" s="21"/>
      <c r="EP436" s="21"/>
      <c r="EQ436" s="21"/>
      <c r="ER436" s="21"/>
      <c r="ES436" s="21"/>
      <c r="ET436" s="21"/>
      <c r="EU436" s="21"/>
      <c r="EV436" s="21"/>
      <c r="EW436" s="21"/>
      <c r="EX436" s="21"/>
      <c r="EY436" s="21"/>
      <c r="EZ436" s="21"/>
      <c r="FA436" s="21"/>
      <c r="FB436" s="21"/>
      <c r="FC436" s="21"/>
      <c r="FD436" s="21"/>
      <c r="FE436" s="21"/>
      <c r="FF436" s="21"/>
      <c r="FG436" s="21"/>
      <c r="FH436" s="21"/>
      <c r="FI436" s="21"/>
      <c r="FJ436" s="21"/>
      <c r="FK436" s="21"/>
      <c r="FL436" s="21"/>
      <c r="FM436" s="21"/>
      <c r="FN436" s="21"/>
      <c r="FO436" s="21"/>
      <c r="FP436" s="21"/>
      <c r="FQ436" s="21"/>
      <c r="FR436" s="21"/>
      <c r="FS436" s="21"/>
      <c r="FT436" s="21"/>
      <c r="FU436" s="21"/>
      <c r="FV436" s="21"/>
      <c r="FW436" s="21"/>
      <c r="FX436" s="21"/>
      <c r="FY436" s="21"/>
      <c r="FZ436" s="21"/>
      <c r="GA436" s="21"/>
      <c r="GB436" s="21"/>
      <c r="GC436" s="21"/>
      <c r="GD436" s="21"/>
      <c r="GE436" s="21"/>
      <c r="GF436" s="21"/>
      <c r="GG436" s="21"/>
      <c r="GH436" s="21"/>
      <c r="GI436" s="21"/>
      <c r="GJ436" s="21"/>
      <c r="GK436" s="21"/>
      <c r="GL436" s="21"/>
      <c r="GM436" s="21"/>
      <c r="GN436" s="21"/>
      <c r="GO436" s="21"/>
      <c r="GP436" s="21"/>
      <c r="GQ436" s="21"/>
      <c r="GR436" s="21"/>
      <c r="GS436" s="21"/>
      <c r="GT436" s="21"/>
      <c r="GU436" s="21"/>
      <c r="GV436" s="21"/>
      <c r="GW436" s="21"/>
      <c r="GX436" s="21"/>
      <c r="GY436" s="21"/>
      <c r="GZ436" s="21"/>
      <c r="HA436" s="21"/>
      <c r="HB436" s="21"/>
      <c r="HC436" s="21"/>
      <c r="HD436" s="21"/>
      <c r="HE436" s="21"/>
      <c r="HF436" s="21"/>
      <c r="HG436" s="21"/>
      <c r="HH436" s="21"/>
      <c r="HI436" s="21"/>
      <c r="HJ436" s="21"/>
      <c r="HK436" s="21"/>
      <c r="HL436" s="21"/>
      <c r="HM436" s="21"/>
      <c r="HN436" s="21"/>
      <c r="HO436" s="21"/>
      <c r="HP436" s="21"/>
      <c r="HQ436" s="21"/>
      <c r="HR436" s="21"/>
      <c r="HS436" s="21"/>
      <c r="HT436" s="21"/>
      <c r="HU436" s="21"/>
      <c r="HV436" s="21"/>
      <c r="HW436" s="21"/>
      <c r="HX436" s="21"/>
      <c r="HY436" s="21"/>
      <c r="HZ436" s="21"/>
      <c r="IA436" s="21"/>
      <c r="IB436" s="21"/>
      <c r="IC436" s="21"/>
    </row>
    <row r="437" spans="1:237">
      <c r="A437" s="77"/>
      <c r="B437" s="77"/>
      <c r="C437" s="77"/>
      <c r="D437" s="77"/>
      <c r="E437" s="77"/>
      <c r="F437" s="77"/>
      <c r="G437" s="77"/>
      <c r="H437" s="77"/>
      <c r="I437" s="77"/>
      <c r="J437" s="68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  <c r="DB437" s="21"/>
      <c r="DC437" s="21"/>
      <c r="DD437" s="21"/>
      <c r="DE437" s="21"/>
      <c r="DF437" s="21"/>
      <c r="DG437" s="21"/>
      <c r="DH437" s="21"/>
      <c r="DI437" s="21"/>
      <c r="DJ437" s="21"/>
      <c r="DK437" s="21"/>
      <c r="DL437" s="21"/>
      <c r="DM437" s="21"/>
      <c r="DN437" s="21"/>
      <c r="DO437" s="21"/>
      <c r="DP437" s="21"/>
      <c r="DQ437" s="21"/>
      <c r="DR437" s="21"/>
      <c r="DS437" s="21"/>
      <c r="DT437" s="21"/>
      <c r="DU437" s="21"/>
      <c r="DV437" s="21"/>
      <c r="DW437" s="21"/>
      <c r="DX437" s="21"/>
      <c r="DY437" s="21"/>
      <c r="DZ437" s="21"/>
      <c r="EA437" s="21"/>
      <c r="EB437" s="21"/>
      <c r="EC437" s="21"/>
      <c r="ED437" s="21"/>
      <c r="EE437" s="21"/>
      <c r="EF437" s="21"/>
      <c r="EG437" s="21"/>
      <c r="EH437" s="21"/>
      <c r="EI437" s="21"/>
      <c r="EJ437" s="21"/>
      <c r="EK437" s="21"/>
      <c r="EL437" s="21"/>
      <c r="EM437" s="21"/>
      <c r="EN437" s="21"/>
      <c r="EO437" s="21"/>
      <c r="EP437" s="21"/>
      <c r="EQ437" s="21"/>
      <c r="ER437" s="21"/>
      <c r="ES437" s="21"/>
      <c r="ET437" s="21"/>
      <c r="EU437" s="21"/>
      <c r="EV437" s="21"/>
      <c r="EW437" s="21"/>
      <c r="EX437" s="21"/>
      <c r="EY437" s="21"/>
      <c r="EZ437" s="21"/>
      <c r="FA437" s="21"/>
      <c r="FB437" s="21"/>
      <c r="FC437" s="21"/>
      <c r="FD437" s="21"/>
      <c r="FE437" s="21"/>
      <c r="FF437" s="21"/>
      <c r="FG437" s="21"/>
      <c r="FH437" s="21"/>
      <c r="FI437" s="21"/>
      <c r="FJ437" s="21"/>
      <c r="FK437" s="21"/>
      <c r="FL437" s="21"/>
      <c r="FM437" s="21"/>
      <c r="FN437" s="21"/>
      <c r="FO437" s="21"/>
      <c r="FP437" s="21"/>
      <c r="FQ437" s="21"/>
      <c r="FR437" s="21"/>
      <c r="FS437" s="21"/>
      <c r="FT437" s="21"/>
      <c r="FU437" s="21"/>
      <c r="FV437" s="21"/>
      <c r="FW437" s="21"/>
      <c r="FX437" s="21"/>
      <c r="FY437" s="21"/>
      <c r="FZ437" s="21"/>
      <c r="GA437" s="21"/>
      <c r="GB437" s="21"/>
      <c r="GC437" s="21"/>
      <c r="GD437" s="21"/>
      <c r="GE437" s="21"/>
      <c r="GF437" s="21"/>
      <c r="GG437" s="21"/>
      <c r="GH437" s="21"/>
      <c r="GI437" s="21"/>
      <c r="GJ437" s="21"/>
      <c r="GK437" s="21"/>
      <c r="GL437" s="21"/>
      <c r="GM437" s="21"/>
      <c r="GN437" s="21"/>
      <c r="GO437" s="21"/>
      <c r="GP437" s="21"/>
      <c r="GQ437" s="21"/>
      <c r="GR437" s="21"/>
      <c r="GS437" s="21"/>
      <c r="GT437" s="21"/>
      <c r="GU437" s="21"/>
      <c r="GV437" s="21"/>
      <c r="GW437" s="21"/>
      <c r="GX437" s="21"/>
      <c r="GY437" s="21"/>
      <c r="GZ437" s="21"/>
      <c r="HA437" s="21"/>
      <c r="HB437" s="21"/>
      <c r="HC437" s="21"/>
      <c r="HD437" s="21"/>
      <c r="HE437" s="21"/>
      <c r="HF437" s="21"/>
      <c r="HG437" s="21"/>
      <c r="HH437" s="21"/>
      <c r="HI437" s="21"/>
      <c r="HJ437" s="21"/>
      <c r="HK437" s="21"/>
      <c r="HL437" s="21"/>
      <c r="HM437" s="21"/>
      <c r="HN437" s="21"/>
      <c r="HO437" s="21"/>
      <c r="HP437" s="21"/>
      <c r="HQ437" s="21"/>
      <c r="HR437" s="21"/>
      <c r="HS437" s="21"/>
      <c r="HT437" s="21"/>
      <c r="HU437" s="21"/>
      <c r="HV437" s="21"/>
      <c r="HW437" s="21"/>
      <c r="HX437" s="21"/>
      <c r="HY437" s="21"/>
      <c r="HZ437" s="21"/>
      <c r="IA437" s="21"/>
      <c r="IB437" s="21"/>
      <c r="IC437" s="21"/>
    </row>
    <row r="438" spans="1:237">
      <c r="A438" s="77"/>
      <c r="B438" s="77"/>
      <c r="C438" s="77"/>
      <c r="D438" s="77"/>
      <c r="E438" s="77"/>
      <c r="F438" s="77"/>
      <c r="G438" s="77"/>
      <c r="H438" s="77"/>
      <c r="I438" s="77"/>
      <c r="J438" s="68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  <c r="DB438" s="21"/>
      <c r="DC438" s="21"/>
      <c r="DD438" s="21"/>
      <c r="DE438" s="21"/>
      <c r="DF438" s="21"/>
      <c r="DG438" s="21"/>
      <c r="DH438" s="21"/>
      <c r="DI438" s="21"/>
      <c r="DJ438" s="21"/>
      <c r="DK438" s="21"/>
      <c r="DL438" s="21"/>
      <c r="DM438" s="21"/>
      <c r="DN438" s="21"/>
      <c r="DO438" s="21"/>
      <c r="DP438" s="21"/>
      <c r="DQ438" s="21"/>
      <c r="DR438" s="21"/>
      <c r="DS438" s="21"/>
      <c r="DT438" s="21"/>
      <c r="DU438" s="21"/>
      <c r="DV438" s="21"/>
      <c r="DW438" s="21"/>
      <c r="DX438" s="21"/>
      <c r="DY438" s="21"/>
      <c r="DZ438" s="21"/>
      <c r="EA438" s="21"/>
      <c r="EB438" s="21"/>
      <c r="EC438" s="21"/>
      <c r="ED438" s="21"/>
      <c r="EE438" s="21"/>
      <c r="EF438" s="21"/>
      <c r="EG438" s="21"/>
      <c r="EH438" s="21"/>
      <c r="EI438" s="21"/>
      <c r="EJ438" s="21"/>
      <c r="EK438" s="21"/>
      <c r="EL438" s="21"/>
      <c r="EM438" s="21"/>
      <c r="EN438" s="21"/>
      <c r="EO438" s="21"/>
      <c r="EP438" s="21"/>
      <c r="EQ438" s="21"/>
      <c r="ER438" s="21"/>
      <c r="ES438" s="21"/>
      <c r="ET438" s="21"/>
      <c r="EU438" s="21"/>
      <c r="EV438" s="21"/>
      <c r="EW438" s="21"/>
      <c r="EX438" s="21"/>
      <c r="EY438" s="21"/>
      <c r="EZ438" s="21"/>
      <c r="FA438" s="21"/>
      <c r="FB438" s="21"/>
      <c r="FC438" s="21"/>
      <c r="FD438" s="21"/>
      <c r="FE438" s="21"/>
      <c r="FF438" s="21"/>
      <c r="FG438" s="21"/>
      <c r="FH438" s="21"/>
      <c r="FI438" s="21"/>
      <c r="FJ438" s="21"/>
      <c r="FK438" s="21"/>
      <c r="FL438" s="21"/>
      <c r="FM438" s="21"/>
      <c r="FN438" s="21"/>
      <c r="FO438" s="21"/>
      <c r="FP438" s="21"/>
      <c r="FQ438" s="21"/>
      <c r="FR438" s="21"/>
      <c r="FS438" s="21"/>
      <c r="FT438" s="21"/>
      <c r="FU438" s="21"/>
      <c r="FV438" s="21"/>
      <c r="FW438" s="21"/>
      <c r="FX438" s="21"/>
      <c r="FY438" s="21"/>
      <c r="FZ438" s="21"/>
      <c r="GA438" s="21"/>
      <c r="GB438" s="21"/>
      <c r="GC438" s="21"/>
      <c r="GD438" s="21"/>
      <c r="GE438" s="21"/>
      <c r="GF438" s="21"/>
      <c r="GG438" s="21"/>
      <c r="GH438" s="21"/>
      <c r="GI438" s="21"/>
      <c r="GJ438" s="21"/>
      <c r="GK438" s="21"/>
      <c r="GL438" s="21"/>
      <c r="GM438" s="21"/>
      <c r="GN438" s="21"/>
      <c r="GO438" s="21"/>
      <c r="GP438" s="21"/>
      <c r="GQ438" s="21"/>
      <c r="GR438" s="21"/>
      <c r="GS438" s="21"/>
      <c r="GT438" s="21"/>
      <c r="GU438" s="21"/>
      <c r="GV438" s="21"/>
      <c r="GW438" s="21"/>
      <c r="GX438" s="21"/>
      <c r="GY438" s="21"/>
      <c r="GZ438" s="21"/>
      <c r="HA438" s="21"/>
      <c r="HB438" s="21"/>
      <c r="HC438" s="21"/>
      <c r="HD438" s="21"/>
      <c r="HE438" s="21"/>
      <c r="HF438" s="21"/>
      <c r="HG438" s="21"/>
      <c r="HH438" s="21"/>
      <c r="HI438" s="21"/>
      <c r="HJ438" s="21"/>
      <c r="HK438" s="21"/>
      <c r="HL438" s="21"/>
      <c r="HM438" s="21"/>
      <c r="HN438" s="21"/>
      <c r="HO438" s="21"/>
      <c r="HP438" s="21"/>
      <c r="HQ438" s="21"/>
      <c r="HR438" s="21"/>
      <c r="HS438" s="21"/>
      <c r="HT438" s="21"/>
      <c r="HU438" s="21"/>
      <c r="HV438" s="21"/>
      <c r="HW438" s="21"/>
      <c r="HX438" s="21"/>
      <c r="HY438" s="21"/>
      <c r="HZ438" s="21"/>
      <c r="IA438" s="21"/>
      <c r="IB438" s="21"/>
      <c r="IC438" s="21"/>
    </row>
    <row r="439" spans="1:237">
      <c r="A439" s="77"/>
      <c r="B439" s="77"/>
      <c r="C439" s="77"/>
      <c r="D439" s="77"/>
      <c r="E439" s="77"/>
      <c r="F439" s="77"/>
      <c r="G439" s="77"/>
      <c r="H439" s="77"/>
      <c r="I439" s="77"/>
      <c r="J439" s="68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  <c r="DB439" s="21"/>
      <c r="DC439" s="21"/>
      <c r="DD439" s="21"/>
      <c r="DE439" s="21"/>
      <c r="DF439" s="21"/>
      <c r="DG439" s="21"/>
      <c r="DH439" s="21"/>
      <c r="DI439" s="21"/>
      <c r="DJ439" s="21"/>
      <c r="DK439" s="21"/>
      <c r="DL439" s="21"/>
      <c r="DM439" s="21"/>
      <c r="DN439" s="21"/>
      <c r="DO439" s="21"/>
      <c r="DP439" s="21"/>
      <c r="DQ439" s="21"/>
      <c r="DR439" s="21"/>
      <c r="DS439" s="21"/>
      <c r="DT439" s="21"/>
      <c r="DU439" s="21"/>
      <c r="DV439" s="21"/>
      <c r="DW439" s="21"/>
      <c r="DX439" s="21"/>
      <c r="DY439" s="21"/>
      <c r="DZ439" s="21"/>
      <c r="EA439" s="21"/>
      <c r="EB439" s="21"/>
      <c r="EC439" s="21"/>
      <c r="ED439" s="21"/>
      <c r="EE439" s="21"/>
      <c r="EF439" s="21"/>
      <c r="EG439" s="21"/>
      <c r="EH439" s="21"/>
      <c r="EI439" s="21"/>
      <c r="EJ439" s="21"/>
      <c r="EK439" s="21"/>
      <c r="EL439" s="21"/>
      <c r="EM439" s="21"/>
      <c r="EN439" s="21"/>
      <c r="EO439" s="21"/>
      <c r="EP439" s="21"/>
      <c r="EQ439" s="21"/>
      <c r="ER439" s="21"/>
      <c r="ES439" s="21"/>
      <c r="ET439" s="21"/>
      <c r="EU439" s="21"/>
      <c r="EV439" s="21"/>
      <c r="EW439" s="21"/>
      <c r="EX439" s="21"/>
      <c r="EY439" s="21"/>
      <c r="EZ439" s="21"/>
      <c r="FA439" s="21"/>
      <c r="FB439" s="21"/>
      <c r="FC439" s="21"/>
      <c r="FD439" s="21"/>
      <c r="FE439" s="21"/>
      <c r="FF439" s="21"/>
      <c r="FG439" s="21"/>
      <c r="FH439" s="21"/>
      <c r="FI439" s="21"/>
      <c r="FJ439" s="21"/>
      <c r="FK439" s="21"/>
      <c r="FL439" s="21"/>
      <c r="FM439" s="21"/>
      <c r="FN439" s="21"/>
      <c r="FO439" s="21"/>
      <c r="FP439" s="21"/>
      <c r="FQ439" s="21"/>
      <c r="FR439" s="21"/>
      <c r="FS439" s="21"/>
      <c r="FT439" s="21"/>
      <c r="FU439" s="21"/>
      <c r="FV439" s="21"/>
      <c r="FW439" s="21"/>
      <c r="FX439" s="21"/>
      <c r="FY439" s="21"/>
      <c r="FZ439" s="21"/>
      <c r="GA439" s="21"/>
      <c r="GB439" s="21"/>
      <c r="GC439" s="21"/>
      <c r="GD439" s="21"/>
      <c r="GE439" s="21"/>
      <c r="GF439" s="21"/>
      <c r="GG439" s="21"/>
      <c r="GH439" s="21"/>
      <c r="GI439" s="21"/>
      <c r="GJ439" s="21"/>
      <c r="GK439" s="21"/>
      <c r="GL439" s="21"/>
      <c r="GM439" s="21"/>
      <c r="GN439" s="21"/>
      <c r="GO439" s="21"/>
      <c r="GP439" s="21"/>
      <c r="GQ439" s="21"/>
      <c r="GR439" s="21"/>
      <c r="GS439" s="21"/>
      <c r="GT439" s="21"/>
      <c r="GU439" s="21"/>
      <c r="GV439" s="21"/>
      <c r="GW439" s="21"/>
      <c r="GX439" s="21"/>
      <c r="GY439" s="21"/>
      <c r="GZ439" s="21"/>
      <c r="HA439" s="21"/>
      <c r="HB439" s="21"/>
      <c r="HC439" s="21"/>
      <c r="HD439" s="21"/>
      <c r="HE439" s="21"/>
      <c r="HF439" s="21"/>
      <c r="HG439" s="21"/>
      <c r="HH439" s="21"/>
      <c r="HI439" s="21"/>
      <c r="HJ439" s="21"/>
      <c r="HK439" s="21"/>
      <c r="HL439" s="21"/>
      <c r="HM439" s="21"/>
      <c r="HN439" s="21"/>
      <c r="HO439" s="21"/>
      <c r="HP439" s="21"/>
      <c r="HQ439" s="21"/>
      <c r="HR439" s="21"/>
      <c r="HS439" s="21"/>
      <c r="HT439" s="21"/>
      <c r="HU439" s="21"/>
      <c r="HV439" s="21"/>
      <c r="HW439" s="21"/>
      <c r="HX439" s="21"/>
      <c r="HY439" s="21"/>
      <c r="HZ439" s="21"/>
      <c r="IA439" s="21"/>
      <c r="IB439" s="21"/>
      <c r="IC439" s="21"/>
    </row>
    <row r="440" spans="1:237">
      <c r="A440" s="77"/>
      <c r="B440" s="77"/>
      <c r="C440" s="77"/>
      <c r="D440" s="77"/>
      <c r="E440" s="77"/>
      <c r="F440" s="77"/>
      <c r="G440" s="77"/>
      <c r="H440" s="77"/>
      <c r="I440" s="77"/>
      <c r="J440" s="68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  <c r="DB440" s="21"/>
      <c r="DC440" s="21"/>
      <c r="DD440" s="21"/>
      <c r="DE440" s="21"/>
      <c r="DF440" s="21"/>
      <c r="DG440" s="21"/>
      <c r="DH440" s="21"/>
      <c r="DI440" s="21"/>
      <c r="DJ440" s="21"/>
      <c r="DK440" s="21"/>
      <c r="DL440" s="21"/>
      <c r="DM440" s="21"/>
      <c r="DN440" s="21"/>
      <c r="DO440" s="21"/>
      <c r="DP440" s="21"/>
      <c r="DQ440" s="21"/>
      <c r="DR440" s="21"/>
      <c r="DS440" s="21"/>
      <c r="DT440" s="21"/>
      <c r="DU440" s="21"/>
      <c r="DV440" s="21"/>
      <c r="DW440" s="21"/>
      <c r="DX440" s="21"/>
      <c r="DY440" s="21"/>
      <c r="DZ440" s="21"/>
      <c r="EA440" s="21"/>
      <c r="EB440" s="21"/>
      <c r="EC440" s="21"/>
      <c r="ED440" s="21"/>
      <c r="EE440" s="21"/>
      <c r="EF440" s="21"/>
      <c r="EG440" s="21"/>
      <c r="EH440" s="21"/>
      <c r="EI440" s="21"/>
      <c r="EJ440" s="21"/>
      <c r="EK440" s="21"/>
      <c r="EL440" s="21"/>
      <c r="EM440" s="21"/>
      <c r="EN440" s="21"/>
      <c r="EO440" s="21"/>
      <c r="EP440" s="21"/>
      <c r="EQ440" s="21"/>
      <c r="ER440" s="21"/>
      <c r="ES440" s="21"/>
      <c r="ET440" s="21"/>
      <c r="EU440" s="21"/>
      <c r="EV440" s="21"/>
      <c r="EW440" s="21"/>
      <c r="EX440" s="21"/>
      <c r="EY440" s="21"/>
      <c r="EZ440" s="21"/>
      <c r="FA440" s="21"/>
      <c r="FB440" s="21"/>
      <c r="FC440" s="21"/>
      <c r="FD440" s="21"/>
      <c r="FE440" s="21"/>
      <c r="FF440" s="21"/>
      <c r="FG440" s="21"/>
      <c r="FH440" s="21"/>
      <c r="FI440" s="21"/>
      <c r="FJ440" s="21"/>
      <c r="FK440" s="21"/>
      <c r="FL440" s="21"/>
      <c r="FM440" s="21"/>
      <c r="FN440" s="21"/>
      <c r="FO440" s="21"/>
      <c r="FP440" s="21"/>
      <c r="FQ440" s="21"/>
      <c r="FR440" s="21"/>
      <c r="FS440" s="21"/>
      <c r="FT440" s="21"/>
      <c r="FU440" s="21"/>
      <c r="FV440" s="21"/>
      <c r="FW440" s="21"/>
      <c r="FX440" s="21"/>
      <c r="FY440" s="21"/>
      <c r="FZ440" s="21"/>
      <c r="GA440" s="21"/>
      <c r="GB440" s="21"/>
      <c r="GC440" s="21"/>
      <c r="GD440" s="21"/>
      <c r="GE440" s="21"/>
      <c r="GF440" s="21"/>
      <c r="GG440" s="21"/>
      <c r="GH440" s="21"/>
      <c r="GI440" s="21"/>
      <c r="GJ440" s="21"/>
      <c r="GK440" s="21"/>
      <c r="GL440" s="21"/>
      <c r="GM440" s="21"/>
      <c r="GN440" s="21"/>
      <c r="GO440" s="21"/>
      <c r="GP440" s="21"/>
      <c r="GQ440" s="21"/>
      <c r="GR440" s="21"/>
      <c r="GS440" s="21"/>
      <c r="GT440" s="21"/>
      <c r="GU440" s="21"/>
      <c r="GV440" s="21"/>
      <c r="GW440" s="21"/>
      <c r="GX440" s="21"/>
      <c r="GY440" s="21"/>
      <c r="GZ440" s="21"/>
      <c r="HA440" s="21"/>
      <c r="HB440" s="21"/>
      <c r="HC440" s="21"/>
      <c r="HD440" s="21"/>
      <c r="HE440" s="21"/>
      <c r="HF440" s="21"/>
      <c r="HG440" s="21"/>
      <c r="HH440" s="21"/>
      <c r="HI440" s="21"/>
      <c r="HJ440" s="21"/>
      <c r="HK440" s="21"/>
      <c r="HL440" s="21"/>
      <c r="HM440" s="21"/>
      <c r="HN440" s="21"/>
      <c r="HO440" s="21"/>
      <c r="HP440" s="21"/>
      <c r="HQ440" s="21"/>
      <c r="HR440" s="21"/>
      <c r="HS440" s="21"/>
      <c r="HT440" s="21"/>
      <c r="HU440" s="21"/>
      <c r="HV440" s="21"/>
      <c r="HW440" s="21"/>
      <c r="HX440" s="21"/>
      <c r="HY440" s="21"/>
      <c r="HZ440" s="21"/>
      <c r="IA440" s="21"/>
      <c r="IB440" s="21"/>
      <c r="IC440" s="21"/>
    </row>
    <row r="441" spans="1:237">
      <c r="A441" s="77"/>
      <c r="B441" s="77"/>
      <c r="C441" s="77"/>
      <c r="D441" s="77"/>
      <c r="E441" s="77"/>
      <c r="F441" s="77"/>
      <c r="G441" s="77"/>
      <c r="H441" s="77"/>
      <c r="I441" s="77"/>
      <c r="J441" s="68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  <c r="DB441" s="21"/>
      <c r="DC441" s="21"/>
      <c r="DD441" s="21"/>
      <c r="DE441" s="21"/>
      <c r="DF441" s="21"/>
      <c r="DG441" s="21"/>
      <c r="DH441" s="21"/>
      <c r="DI441" s="21"/>
      <c r="DJ441" s="21"/>
      <c r="DK441" s="21"/>
      <c r="DL441" s="21"/>
      <c r="DM441" s="21"/>
      <c r="DN441" s="21"/>
      <c r="DO441" s="21"/>
      <c r="DP441" s="21"/>
      <c r="DQ441" s="21"/>
      <c r="DR441" s="21"/>
      <c r="DS441" s="21"/>
      <c r="DT441" s="21"/>
      <c r="DU441" s="21"/>
      <c r="DV441" s="21"/>
      <c r="DW441" s="21"/>
      <c r="DX441" s="21"/>
      <c r="DY441" s="21"/>
      <c r="DZ441" s="21"/>
      <c r="EA441" s="21"/>
      <c r="EB441" s="21"/>
      <c r="EC441" s="21"/>
      <c r="ED441" s="21"/>
      <c r="EE441" s="21"/>
      <c r="EF441" s="21"/>
      <c r="EG441" s="21"/>
      <c r="EH441" s="21"/>
      <c r="EI441" s="21"/>
      <c r="EJ441" s="21"/>
      <c r="EK441" s="21"/>
      <c r="EL441" s="21"/>
      <c r="EM441" s="21"/>
      <c r="EN441" s="21"/>
      <c r="EO441" s="21"/>
      <c r="EP441" s="21"/>
      <c r="EQ441" s="21"/>
      <c r="ER441" s="21"/>
      <c r="ES441" s="21"/>
      <c r="ET441" s="21"/>
      <c r="EU441" s="21"/>
      <c r="EV441" s="21"/>
      <c r="EW441" s="21"/>
      <c r="EX441" s="21"/>
      <c r="EY441" s="21"/>
      <c r="EZ441" s="21"/>
      <c r="FA441" s="21"/>
      <c r="FB441" s="21"/>
      <c r="FC441" s="21"/>
      <c r="FD441" s="21"/>
      <c r="FE441" s="21"/>
      <c r="FF441" s="21"/>
      <c r="FG441" s="21"/>
      <c r="FH441" s="21"/>
      <c r="FI441" s="21"/>
      <c r="FJ441" s="21"/>
      <c r="FK441" s="21"/>
      <c r="FL441" s="21"/>
      <c r="FM441" s="21"/>
      <c r="FN441" s="21"/>
      <c r="FO441" s="21"/>
      <c r="FP441" s="21"/>
      <c r="FQ441" s="21"/>
      <c r="FR441" s="21"/>
      <c r="FS441" s="21"/>
      <c r="FT441" s="21"/>
      <c r="FU441" s="21"/>
      <c r="FV441" s="21"/>
      <c r="FW441" s="21"/>
      <c r="FX441" s="21"/>
      <c r="FY441" s="21"/>
      <c r="FZ441" s="21"/>
      <c r="GA441" s="21"/>
      <c r="GB441" s="21"/>
      <c r="GC441" s="21"/>
      <c r="GD441" s="21"/>
      <c r="GE441" s="21"/>
      <c r="GF441" s="21"/>
      <c r="GG441" s="21"/>
      <c r="GH441" s="21"/>
      <c r="GI441" s="21"/>
      <c r="GJ441" s="21"/>
      <c r="GK441" s="21"/>
      <c r="GL441" s="21"/>
      <c r="GM441" s="21"/>
      <c r="GN441" s="21"/>
      <c r="GO441" s="21"/>
      <c r="GP441" s="21"/>
      <c r="GQ441" s="21"/>
      <c r="GR441" s="21"/>
      <c r="GS441" s="21"/>
      <c r="GT441" s="21"/>
      <c r="GU441" s="21"/>
      <c r="GV441" s="21"/>
      <c r="GW441" s="21"/>
      <c r="GX441" s="21"/>
      <c r="GY441" s="21"/>
      <c r="GZ441" s="21"/>
      <c r="HA441" s="21"/>
      <c r="HB441" s="21"/>
      <c r="HC441" s="21"/>
      <c r="HD441" s="21"/>
      <c r="HE441" s="21"/>
      <c r="HF441" s="21"/>
      <c r="HG441" s="21"/>
      <c r="HH441" s="21"/>
      <c r="HI441" s="21"/>
      <c r="HJ441" s="21"/>
      <c r="HK441" s="21"/>
      <c r="HL441" s="21"/>
      <c r="HM441" s="21"/>
      <c r="HN441" s="21"/>
      <c r="HO441" s="21"/>
      <c r="HP441" s="21"/>
      <c r="HQ441" s="21"/>
      <c r="HR441" s="21"/>
      <c r="HS441" s="21"/>
      <c r="HT441" s="21"/>
      <c r="HU441" s="21"/>
      <c r="HV441" s="21"/>
      <c r="HW441" s="21"/>
      <c r="HX441" s="21"/>
      <c r="HY441" s="21"/>
      <c r="HZ441" s="21"/>
      <c r="IA441" s="21"/>
      <c r="IB441" s="21"/>
      <c r="IC441" s="21"/>
    </row>
    <row r="442" spans="1:237">
      <c r="A442" s="77"/>
      <c r="B442" s="77"/>
      <c r="C442" s="77"/>
      <c r="D442" s="77"/>
      <c r="E442" s="77"/>
      <c r="F442" s="77"/>
      <c r="G442" s="77"/>
      <c r="H442" s="77"/>
      <c r="I442" s="77"/>
      <c r="J442" s="68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  <c r="DB442" s="21"/>
      <c r="DC442" s="21"/>
      <c r="DD442" s="21"/>
      <c r="DE442" s="21"/>
      <c r="DF442" s="21"/>
      <c r="DG442" s="21"/>
      <c r="DH442" s="21"/>
      <c r="DI442" s="21"/>
      <c r="DJ442" s="21"/>
      <c r="DK442" s="21"/>
      <c r="DL442" s="21"/>
      <c r="DM442" s="21"/>
      <c r="DN442" s="21"/>
      <c r="DO442" s="21"/>
      <c r="DP442" s="21"/>
      <c r="DQ442" s="21"/>
      <c r="DR442" s="21"/>
      <c r="DS442" s="21"/>
      <c r="DT442" s="21"/>
      <c r="DU442" s="21"/>
      <c r="DV442" s="21"/>
      <c r="DW442" s="21"/>
      <c r="DX442" s="21"/>
      <c r="DY442" s="21"/>
      <c r="DZ442" s="21"/>
      <c r="EA442" s="21"/>
      <c r="EB442" s="21"/>
      <c r="EC442" s="21"/>
      <c r="ED442" s="21"/>
      <c r="EE442" s="21"/>
      <c r="EF442" s="21"/>
      <c r="EG442" s="21"/>
      <c r="EH442" s="21"/>
      <c r="EI442" s="21"/>
      <c r="EJ442" s="21"/>
      <c r="EK442" s="21"/>
      <c r="EL442" s="21"/>
      <c r="EM442" s="21"/>
      <c r="EN442" s="21"/>
      <c r="EO442" s="21"/>
      <c r="EP442" s="21"/>
      <c r="EQ442" s="21"/>
      <c r="ER442" s="21"/>
      <c r="ES442" s="21"/>
      <c r="ET442" s="21"/>
      <c r="EU442" s="21"/>
      <c r="EV442" s="21"/>
      <c r="EW442" s="21"/>
      <c r="EX442" s="21"/>
      <c r="EY442" s="21"/>
      <c r="EZ442" s="21"/>
      <c r="FA442" s="21"/>
      <c r="FB442" s="21"/>
      <c r="FC442" s="21"/>
      <c r="FD442" s="21"/>
      <c r="FE442" s="21"/>
      <c r="FF442" s="21"/>
      <c r="FG442" s="21"/>
      <c r="FH442" s="21"/>
      <c r="FI442" s="21"/>
      <c r="FJ442" s="21"/>
      <c r="FK442" s="21"/>
      <c r="FL442" s="21"/>
      <c r="FM442" s="21"/>
      <c r="FN442" s="21"/>
      <c r="FO442" s="21"/>
      <c r="FP442" s="21"/>
      <c r="FQ442" s="21"/>
      <c r="FR442" s="21"/>
      <c r="FS442" s="21"/>
      <c r="FT442" s="21"/>
      <c r="FU442" s="21"/>
      <c r="FV442" s="21"/>
      <c r="FW442" s="21"/>
      <c r="FX442" s="21"/>
      <c r="FY442" s="21"/>
      <c r="FZ442" s="21"/>
      <c r="GA442" s="21"/>
      <c r="GB442" s="21"/>
      <c r="GC442" s="21"/>
      <c r="GD442" s="21"/>
      <c r="GE442" s="21"/>
      <c r="GF442" s="21"/>
      <c r="GG442" s="21"/>
      <c r="GH442" s="21"/>
      <c r="GI442" s="21"/>
      <c r="GJ442" s="21"/>
      <c r="GK442" s="21"/>
      <c r="GL442" s="21"/>
      <c r="GM442" s="21"/>
      <c r="GN442" s="21"/>
      <c r="GO442" s="21"/>
      <c r="GP442" s="21"/>
      <c r="GQ442" s="21"/>
      <c r="GR442" s="21"/>
      <c r="GS442" s="21"/>
      <c r="GT442" s="21"/>
      <c r="GU442" s="21"/>
      <c r="GV442" s="21"/>
      <c r="GW442" s="21"/>
      <c r="GX442" s="21"/>
      <c r="GY442" s="21"/>
      <c r="GZ442" s="21"/>
      <c r="HA442" s="21"/>
      <c r="HB442" s="21"/>
      <c r="HC442" s="21"/>
      <c r="HD442" s="21"/>
      <c r="HE442" s="21"/>
      <c r="HF442" s="21"/>
      <c r="HG442" s="21"/>
      <c r="HH442" s="21"/>
      <c r="HI442" s="21"/>
      <c r="HJ442" s="21"/>
      <c r="HK442" s="21"/>
      <c r="HL442" s="21"/>
      <c r="HM442" s="21"/>
      <c r="HN442" s="21"/>
      <c r="HO442" s="21"/>
      <c r="HP442" s="21"/>
      <c r="HQ442" s="21"/>
      <c r="HR442" s="21"/>
      <c r="HS442" s="21"/>
      <c r="HT442" s="21"/>
      <c r="HU442" s="21"/>
      <c r="HV442" s="21"/>
      <c r="HW442" s="21"/>
      <c r="HX442" s="21"/>
      <c r="HY442" s="21"/>
      <c r="HZ442" s="21"/>
      <c r="IA442" s="21"/>
      <c r="IB442" s="21"/>
      <c r="IC442" s="21"/>
    </row>
    <row r="443" spans="1:237">
      <c r="A443" s="77"/>
      <c r="B443" s="77"/>
      <c r="C443" s="77"/>
      <c r="D443" s="77"/>
      <c r="E443" s="77"/>
      <c r="F443" s="77"/>
      <c r="G443" s="77"/>
      <c r="H443" s="77"/>
      <c r="I443" s="77"/>
      <c r="J443" s="68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  <c r="DB443" s="21"/>
      <c r="DC443" s="21"/>
      <c r="DD443" s="21"/>
      <c r="DE443" s="21"/>
      <c r="DF443" s="21"/>
      <c r="DG443" s="21"/>
      <c r="DH443" s="21"/>
      <c r="DI443" s="21"/>
      <c r="DJ443" s="21"/>
      <c r="DK443" s="21"/>
      <c r="DL443" s="21"/>
      <c r="DM443" s="21"/>
      <c r="DN443" s="21"/>
      <c r="DO443" s="21"/>
      <c r="DP443" s="21"/>
      <c r="DQ443" s="21"/>
      <c r="DR443" s="21"/>
      <c r="DS443" s="21"/>
      <c r="DT443" s="21"/>
      <c r="DU443" s="21"/>
      <c r="DV443" s="21"/>
      <c r="DW443" s="21"/>
      <c r="DX443" s="21"/>
      <c r="DY443" s="21"/>
      <c r="DZ443" s="21"/>
      <c r="EA443" s="21"/>
      <c r="EB443" s="21"/>
      <c r="EC443" s="21"/>
      <c r="ED443" s="21"/>
      <c r="EE443" s="21"/>
      <c r="EF443" s="21"/>
      <c r="EG443" s="21"/>
      <c r="EH443" s="21"/>
      <c r="EI443" s="21"/>
      <c r="EJ443" s="21"/>
      <c r="EK443" s="21"/>
      <c r="EL443" s="21"/>
      <c r="EM443" s="21"/>
      <c r="EN443" s="21"/>
      <c r="EO443" s="21"/>
      <c r="EP443" s="21"/>
      <c r="EQ443" s="21"/>
      <c r="ER443" s="21"/>
      <c r="ES443" s="21"/>
      <c r="ET443" s="21"/>
      <c r="EU443" s="21"/>
      <c r="EV443" s="21"/>
      <c r="EW443" s="21"/>
      <c r="EX443" s="21"/>
      <c r="EY443" s="21"/>
      <c r="EZ443" s="21"/>
      <c r="FA443" s="21"/>
      <c r="FB443" s="21"/>
      <c r="FC443" s="21"/>
      <c r="FD443" s="21"/>
      <c r="FE443" s="21"/>
      <c r="FF443" s="21"/>
      <c r="FG443" s="21"/>
      <c r="FH443" s="21"/>
      <c r="FI443" s="21"/>
      <c r="FJ443" s="21"/>
      <c r="FK443" s="21"/>
      <c r="FL443" s="21"/>
      <c r="FM443" s="21"/>
      <c r="FN443" s="21"/>
      <c r="FO443" s="21"/>
      <c r="FP443" s="21"/>
      <c r="FQ443" s="21"/>
      <c r="FR443" s="21"/>
      <c r="FS443" s="21"/>
      <c r="FT443" s="21"/>
      <c r="FU443" s="21"/>
      <c r="FV443" s="21"/>
      <c r="FW443" s="21"/>
      <c r="FX443" s="21"/>
      <c r="FY443" s="21"/>
      <c r="FZ443" s="21"/>
      <c r="GA443" s="21"/>
      <c r="GB443" s="21"/>
      <c r="GC443" s="21"/>
      <c r="GD443" s="21"/>
      <c r="GE443" s="21"/>
      <c r="GF443" s="21"/>
      <c r="GG443" s="21"/>
      <c r="GH443" s="21"/>
      <c r="GI443" s="21"/>
      <c r="GJ443" s="21"/>
      <c r="GK443" s="21"/>
      <c r="GL443" s="21"/>
      <c r="GM443" s="21"/>
      <c r="GN443" s="21"/>
      <c r="GO443" s="21"/>
      <c r="GP443" s="21"/>
      <c r="GQ443" s="21"/>
      <c r="GR443" s="21"/>
      <c r="GS443" s="21"/>
      <c r="GT443" s="21"/>
      <c r="GU443" s="21"/>
      <c r="GV443" s="21"/>
      <c r="GW443" s="21"/>
      <c r="GX443" s="21"/>
      <c r="GY443" s="21"/>
      <c r="GZ443" s="21"/>
      <c r="HA443" s="21"/>
      <c r="HB443" s="21"/>
      <c r="HC443" s="21"/>
      <c r="HD443" s="21"/>
      <c r="HE443" s="21"/>
      <c r="HF443" s="21"/>
      <c r="HG443" s="21"/>
      <c r="HH443" s="21"/>
      <c r="HI443" s="21"/>
      <c r="HJ443" s="21"/>
      <c r="HK443" s="21"/>
      <c r="HL443" s="21"/>
      <c r="HM443" s="21"/>
      <c r="HN443" s="21"/>
      <c r="HO443" s="21"/>
      <c r="HP443" s="21"/>
      <c r="HQ443" s="21"/>
      <c r="HR443" s="21"/>
      <c r="HS443" s="21"/>
      <c r="HT443" s="21"/>
      <c r="HU443" s="21"/>
      <c r="HV443" s="21"/>
      <c r="HW443" s="21"/>
      <c r="HX443" s="21"/>
      <c r="HY443" s="21"/>
      <c r="HZ443" s="21"/>
      <c r="IA443" s="21"/>
      <c r="IB443" s="21"/>
      <c r="IC443" s="21"/>
    </row>
    <row r="444" spans="1:237">
      <c r="A444" s="77"/>
      <c r="B444" s="77"/>
      <c r="C444" s="77"/>
      <c r="D444" s="77"/>
      <c r="E444" s="77"/>
      <c r="F444" s="77"/>
      <c r="G444" s="77"/>
      <c r="H444" s="77"/>
      <c r="I444" s="77"/>
      <c r="J444" s="68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  <c r="DB444" s="21"/>
      <c r="DC444" s="21"/>
      <c r="DD444" s="21"/>
      <c r="DE444" s="21"/>
      <c r="DF444" s="21"/>
      <c r="DG444" s="21"/>
      <c r="DH444" s="21"/>
      <c r="DI444" s="21"/>
      <c r="DJ444" s="21"/>
      <c r="DK444" s="21"/>
      <c r="DL444" s="21"/>
      <c r="DM444" s="21"/>
      <c r="DN444" s="21"/>
      <c r="DO444" s="21"/>
      <c r="DP444" s="21"/>
      <c r="DQ444" s="21"/>
      <c r="DR444" s="21"/>
      <c r="DS444" s="21"/>
      <c r="DT444" s="21"/>
      <c r="DU444" s="21"/>
      <c r="DV444" s="21"/>
      <c r="DW444" s="21"/>
      <c r="DX444" s="21"/>
      <c r="DY444" s="21"/>
      <c r="DZ444" s="21"/>
      <c r="EA444" s="21"/>
      <c r="EB444" s="21"/>
      <c r="EC444" s="21"/>
      <c r="ED444" s="21"/>
      <c r="EE444" s="21"/>
      <c r="EF444" s="21"/>
      <c r="EG444" s="21"/>
      <c r="EH444" s="21"/>
      <c r="EI444" s="21"/>
      <c r="EJ444" s="21"/>
      <c r="EK444" s="21"/>
      <c r="EL444" s="21"/>
      <c r="EM444" s="21"/>
      <c r="EN444" s="21"/>
      <c r="EO444" s="21"/>
      <c r="EP444" s="21"/>
      <c r="EQ444" s="21"/>
      <c r="ER444" s="21"/>
      <c r="ES444" s="21"/>
      <c r="ET444" s="21"/>
      <c r="EU444" s="21"/>
      <c r="EV444" s="21"/>
      <c r="EW444" s="21"/>
      <c r="EX444" s="21"/>
      <c r="EY444" s="21"/>
      <c r="EZ444" s="21"/>
      <c r="FA444" s="21"/>
      <c r="FB444" s="21"/>
      <c r="FC444" s="21"/>
      <c r="FD444" s="21"/>
      <c r="FE444" s="21"/>
      <c r="FF444" s="21"/>
      <c r="FG444" s="21"/>
      <c r="FH444" s="21"/>
      <c r="FI444" s="21"/>
      <c r="FJ444" s="21"/>
      <c r="FK444" s="21"/>
      <c r="FL444" s="21"/>
      <c r="FM444" s="21"/>
      <c r="FN444" s="21"/>
      <c r="FO444" s="21"/>
      <c r="FP444" s="21"/>
      <c r="FQ444" s="21"/>
      <c r="FR444" s="21"/>
      <c r="FS444" s="21"/>
      <c r="FT444" s="21"/>
      <c r="FU444" s="21"/>
      <c r="FV444" s="21"/>
      <c r="FW444" s="21"/>
      <c r="FX444" s="21"/>
      <c r="FY444" s="21"/>
      <c r="FZ444" s="21"/>
      <c r="GA444" s="21"/>
      <c r="GB444" s="21"/>
      <c r="GC444" s="21"/>
      <c r="GD444" s="21"/>
      <c r="GE444" s="21"/>
      <c r="GF444" s="21"/>
      <c r="GG444" s="21"/>
      <c r="GH444" s="21"/>
      <c r="GI444" s="21"/>
      <c r="GJ444" s="21"/>
      <c r="GK444" s="21"/>
      <c r="GL444" s="21"/>
      <c r="GM444" s="21"/>
      <c r="GN444" s="21"/>
      <c r="GO444" s="21"/>
      <c r="GP444" s="21"/>
      <c r="GQ444" s="21"/>
      <c r="GR444" s="21"/>
      <c r="GS444" s="21"/>
      <c r="GT444" s="21"/>
      <c r="GU444" s="21"/>
      <c r="GV444" s="21"/>
      <c r="GW444" s="21"/>
      <c r="GX444" s="21"/>
      <c r="GY444" s="21"/>
      <c r="GZ444" s="21"/>
      <c r="HA444" s="21"/>
      <c r="HB444" s="21"/>
      <c r="HC444" s="21"/>
      <c r="HD444" s="21"/>
      <c r="HE444" s="21"/>
      <c r="HF444" s="21"/>
      <c r="HG444" s="21"/>
      <c r="HH444" s="21"/>
      <c r="HI444" s="21"/>
      <c r="HJ444" s="21"/>
      <c r="HK444" s="21"/>
      <c r="HL444" s="21"/>
      <c r="HM444" s="21"/>
      <c r="HN444" s="21"/>
      <c r="HO444" s="21"/>
      <c r="HP444" s="21"/>
      <c r="HQ444" s="21"/>
      <c r="HR444" s="21"/>
      <c r="HS444" s="21"/>
      <c r="HT444" s="21"/>
      <c r="HU444" s="21"/>
      <c r="HV444" s="21"/>
      <c r="HW444" s="21"/>
      <c r="HX444" s="21"/>
      <c r="HY444" s="21"/>
      <c r="HZ444" s="21"/>
      <c r="IA444" s="21"/>
      <c r="IB444" s="21"/>
      <c r="IC444" s="21"/>
    </row>
    <row r="445" spans="1:237">
      <c r="A445" s="77"/>
      <c r="B445" s="77"/>
      <c r="C445" s="77"/>
      <c r="D445" s="77"/>
      <c r="E445" s="77"/>
      <c r="F445" s="77"/>
      <c r="G445" s="77"/>
      <c r="H445" s="77"/>
      <c r="I445" s="77"/>
      <c r="J445" s="68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  <c r="DB445" s="21"/>
      <c r="DC445" s="21"/>
      <c r="DD445" s="21"/>
      <c r="DE445" s="21"/>
      <c r="DF445" s="21"/>
      <c r="DG445" s="21"/>
      <c r="DH445" s="21"/>
      <c r="DI445" s="21"/>
      <c r="DJ445" s="21"/>
      <c r="DK445" s="21"/>
      <c r="DL445" s="21"/>
      <c r="DM445" s="21"/>
      <c r="DN445" s="21"/>
      <c r="DO445" s="21"/>
      <c r="DP445" s="21"/>
      <c r="DQ445" s="21"/>
      <c r="DR445" s="21"/>
      <c r="DS445" s="21"/>
      <c r="DT445" s="21"/>
      <c r="DU445" s="21"/>
      <c r="DV445" s="21"/>
      <c r="DW445" s="21"/>
      <c r="DX445" s="21"/>
      <c r="DY445" s="21"/>
      <c r="DZ445" s="21"/>
      <c r="EA445" s="21"/>
      <c r="EB445" s="21"/>
      <c r="EC445" s="21"/>
      <c r="ED445" s="21"/>
      <c r="EE445" s="21"/>
      <c r="EF445" s="21"/>
      <c r="EG445" s="21"/>
      <c r="EH445" s="21"/>
      <c r="EI445" s="21"/>
      <c r="EJ445" s="21"/>
      <c r="EK445" s="21"/>
      <c r="EL445" s="21"/>
      <c r="EM445" s="21"/>
      <c r="EN445" s="21"/>
      <c r="EO445" s="21"/>
      <c r="EP445" s="21"/>
      <c r="EQ445" s="21"/>
      <c r="ER445" s="21"/>
      <c r="ES445" s="21"/>
      <c r="ET445" s="21"/>
      <c r="EU445" s="21"/>
      <c r="EV445" s="21"/>
      <c r="EW445" s="21"/>
      <c r="EX445" s="21"/>
      <c r="EY445" s="21"/>
      <c r="EZ445" s="21"/>
      <c r="FA445" s="21"/>
      <c r="FB445" s="21"/>
      <c r="FC445" s="21"/>
      <c r="FD445" s="21"/>
      <c r="FE445" s="21"/>
      <c r="FF445" s="21"/>
      <c r="FG445" s="21"/>
      <c r="FH445" s="21"/>
      <c r="FI445" s="21"/>
      <c r="FJ445" s="21"/>
      <c r="FK445" s="21"/>
      <c r="FL445" s="21"/>
      <c r="FM445" s="21"/>
      <c r="FN445" s="21"/>
      <c r="FO445" s="21"/>
      <c r="FP445" s="21"/>
      <c r="FQ445" s="21"/>
      <c r="FR445" s="21"/>
      <c r="FS445" s="21"/>
      <c r="FT445" s="21"/>
      <c r="FU445" s="21"/>
      <c r="FV445" s="21"/>
      <c r="FW445" s="21"/>
      <c r="FX445" s="21"/>
      <c r="FY445" s="21"/>
      <c r="FZ445" s="21"/>
      <c r="GA445" s="21"/>
      <c r="GB445" s="21"/>
      <c r="GC445" s="21"/>
      <c r="GD445" s="21"/>
      <c r="GE445" s="21"/>
      <c r="GF445" s="21"/>
      <c r="GG445" s="21"/>
      <c r="GH445" s="21"/>
      <c r="GI445" s="21"/>
      <c r="GJ445" s="21"/>
      <c r="GK445" s="21"/>
      <c r="GL445" s="21"/>
      <c r="GM445" s="21"/>
      <c r="GN445" s="21"/>
      <c r="GO445" s="21"/>
      <c r="GP445" s="21"/>
      <c r="GQ445" s="21"/>
      <c r="GR445" s="21"/>
      <c r="GS445" s="21"/>
      <c r="GT445" s="21"/>
      <c r="GU445" s="21"/>
      <c r="GV445" s="21"/>
      <c r="GW445" s="21"/>
      <c r="GX445" s="21"/>
      <c r="GY445" s="21"/>
      <c r="GZ445" s="21"/>
      <c r="HA445" s="21"/>
      <c r="HB445" s="21"/>
      <c r="HC445" s="21"/>
      <c r="HD445" s="21"/>
      <c r="HE445" s="21"/>
      <c r="HF445" s="21"/>
      <c r="HG445" s="21"/>
      <c r="HH445" s="21"/>
      <c r="HI445" s="21"/>
      <c r="HJ445" s="21"/>
      <c r="HK445" s="21"/>
      <c r="HL445" s="21"/>
      <c r="HM445" s="21"/>
      <c r="HN445" s="21"/>
      <c r="HO445" s="21"/>
      <c r="HP445" s="21"/>
      <c r="HQ445" s="21"/>
      <c r="HR445" s="21"/>
      <c r="HS445" s="21"/>
      <c r="HT445" s="21"/>
      <c r="HU445" s="21"/>
      <c r="HV445" s="21"/>
      <c r="HW445" s="21"/>
      <c r="HX445" s="21"/>
      <c r="HY445" s="21"/>
      <c r="HZ445" s="21"/>
      <c r="IA445" s="21"/>
      <c r="IB445" s="21"/>
      <c r="IC445" s="21"/>
    </row>
    <row r="446" spans="1:237">
      <c r="A446" s="77"/>
      <c r="B446" s="77"/>
      <c r="C446" s="77"/>
      <c r="D446" s="77"/>
      <c r="E446" s="77"/>
      <c r="F446" s="77"/>
      <c r="G446" s="77"/>
      <c r="H446" s="77"/>
      <c r="I446" s="77"/>
      <c r="J446" s="68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  <c r="DB446" s="21"/>
      <c r="DC446" s="21"/>
      <c r="DD446" s="21"/>
      <c r="DE446" s="21"/>
      <c r="DF446" s="21"/>
      <c r="DG446" s="21"/>
      <c r="DH446" s="21"/>
      <c r="DI446" s="21"/>
      <c r="DJ446" s="21"/>
      <c r="DK446" s="21"/>
      <c r="DL446" s="21"/>
      <c r="DM446" s="21"/>
      <c r="DN446" s="21"/>
      <c r="DO446" s="21"/>
      <c r="DP446" s="21"/>
      <c r="DQ446" s="21"/>
      <c r="DR446" s="21"/>
      <c r="DS446" s="21"/>
      <c r="DT446" s="21"/>
      <c r="DU446" s="21"/>
      <c r="DV446" s="21"/>
      <c r="DW446" s="21"/>
      <c r="DX446" s="21"/>
      <c r="DY446" s="21"/>
      <c r="DZ446" s="21"/>
      <c r="EA446" s="21"/>
      <c r="EB446" s="21"/>
      <c r="EC446" s="21"/>
      <c r="ED446" s="21"/>
      <c r="EE446" s="21"/>
      <c r="EF446" s="21"/>
      <c r="EG446" s="21"/>
      <c r="EH446" s="21"/>
      <c r="EI446" s="21"/>
      <c r="EJ446" s="21"/>
      <c r="EK446" s="21"/>
      <c r="EL446" s="21"/>
      <c r="EM446" s="21"/>
      <c r="EN446" s="21"/>
      <c r="EO446" s="21"/>
      <c r="EP446" s="21"/>
      <c r="EQ446" s="21"/>
      <c r="ER446" s="21"/>
      <c r="ES446" s="21"/>
      <c r="ET446" s="21"/>
      <c r="EU446" s="21"/>
      <c r="EV446" s="21"/>
      <c r="EW446" s="21"/>
      <c r="EX446" s="21"/>
      <c r="EY446" s="21"/>
      <c r="EZ446" s="21"/>
      <c r="FA446" s="21"/>
      <c r="FB446" s="21"/>
      <c r="FC446" s="21"/>
      <c r="FD446" s="21"/>
      <c r="FE446" s="21"/>
      <c r="FF446" s="21"/>
      <c r="FG446" s="21"/>
      <c r="FH446" s="21"/>
      <c r="FI446" s="21"/>
      <c r="FJ446" s="21"/>
      <c r="FK446" s="21"/>
      <c r="FL446" s="21"/>
      <c r="FM446" s="21"/>
      <c r="FN446" s="21"/>
      <c r="FO446" s="21"/>
      <c r="FP446" s="21"/>
      <c r="FQ446" s="21"/>
      <c r="FR446" s="21"/>
      <c r="FS446" s="21"/>
      <c r="FT446" s="21"/>
      <c r="FU446" s="21"/>
      <c r="FV446" s="21"/>
      <c r="FW446" s="21"/>
      <c r="FX446" s="21"/>
      <c r="FY446" s="21"/>
      <c r="FZ446" s="21"/>
      <c r="GA446" s="21"/>
      <c r="GB446" s="21"/>
      <c r="GC446" s="21"/>
      <c r="GD446" s="21"/>
      <c r="GE446" s="21"/>
      <c r="GF446" s="21"/>
      <c r="GG446" s="21"/>
      <c r="GH446" s="21"/>
      <c r="GI446" s="21"/>
      <c r="GJ446" s="21"/>
      <c r="GK446" s="21"/>
      <c r="GL446" s="21"/>
      <c r="GM446" s="21"/>
      <c r="GN446" s="21"/>
      <c r="GO446" s="21"/>
      <c r="GP446" s="21"/>
      <c r="GQ446" s="21"/>
      <c r="GR446" s="21"/>
      <c r="GS446" s="21"/>
      <c r="GT446" s="21"/>
      <c r="GU446" s="21"/>
      <c r="GV446" s="21"/>
      <c r="GW446" s="21"/>
      <c r="GX446" s="21"/>
      <c r="GY446" s="21"/>
      <c r="GZ446" s="21"/>
      <c r="HA446" s="21"/>
      <c r="HB446" s="21"/>
      <c r="HC446" s="21"/>
      <c r="HD446" s="21"/>
      <c r="HE446" s="21"/>
      <c r="HF446" s="21"/>
      <c r="HG446" s="21"/>
      <c r="HH446" s="21"/>
      <c r="HI446" s="21"/>
      <c r="HJ446" s="21"/>
      <c r="HK446" s="21"/>
      <c r="HL446" s="21"/>
      <c r="HM446" s="21"/>
      <c r="HN446" s="21"/>
      <c r="HO446" s="21"/>
      <c r="HP446" s="21"/>
      <c r="HQ446" s="21"/>
      <c r="HR446" s="21"/>
      <c r="HS446" s="21"/>
      <c r="HT446" s="21"/>
      <c r="HU446" s="21"/>
      <c r="HV446" s="21"/>
      <c r="HW446" s="21"/>
      <c r="HX446" s="21"/>
      <c r="HY446" s="21"/>
      <c r="HZ446" s="21"/>
      <c r="IA446" s="21"/>
      <c r="IB446" s="21"/>
      <c r="IC446" s="21"/>
    </row>
    <row r="447" spans="1:237">
      <c r="A447" s="77"/>
      <c r="B447" s="77"/>
      <c r="C447" s="77"/>
      <c r="D447" s="77"/>
      <c r="E447" s="77"/>
      <c r="F447" s="77"/>
      <c r="G447" s="77"/>
      <c r="H447" s="77"/>
      <c r="I447" s="77"/>
      <c r="J447" s="68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  <c r="DB447" s="21"/>
      <c r="DC447" s="21"/>
      <c r="DD447" s="21"/>
      <c r="DE447" s="21"/>
      <c r="DF447" s="21"/>
      <c r="DG447" s="21"/>
      <c r="DH447" s="21"/>
      <c r="DI447" s="21"/>
      <c r="DJ447" s="21"/>
      <c r="DK447" s="21"/>
      <c r="DL447" s="21"/>
      <c r="DM447" s="21"/>
      <c r="DN447" s="21"/>
      <c r="DO447" s="21"/>
      <c r="DP447" s="21"/>
      <c r="DQ447" s="21"/>
      <c r="DR447" s="21"/>
      <c r="DS447" s="21"/>
      <c r="DT447" s="21"/>
      <c r="DU447" s="21"/>
      <c r="DV447" s="21"/>
      <c r="DW447" s="21"/>
      <c r="DX447" s="21"/>
      <c r="DY447" s="21"/>
      <c r="DZ447" s="21"/>
      <c r="EA447" s="21"/>
      <c r="EB447" s="21"/>
      <c r="EC447" s="21"/>
      <c r="ED447" s="21"/>
      <c r="EE447" s="21"/>
      <c r="EF447" s="21"/>
      <c r="EG447" s="21"/>
      <c r="EH447" s="21"/>
      <c r="EI447" s="21"/>
      <c r="EJ447" s="21"/>
      <c r="EK447" s="21"/>
      <c r="EL447" s="21"/>
      <c r="EM447" s="21"/>
      <c r="EN447" s="21"/>
      <c r="EO447" s="21"/>
      <c r="EP447" s="21"/>
      <c r="EQ447" s="21"/>
      <c r="ER447" s="21"/>
      <c r="ES447" s="21"/>
      <c r="ET447" s="21"/>
      <c r="EU447" s="21"/>
      <c r="EV447" s="21"/>
      <c r="EW447" s="21"/>
      <c r="EX447" s="21"/>
      <c r="EY447" s="21"/>
      <c r="EZ447" s="21"/>
      <c r="FA447" s="21"/>
      <c r="FB447" s="21"/>
      <c r="FC447" s="21"/>
      <c r="FD447" s="21"/>
      <c r="FE447" s="21"/>
      <c r="FF447" s="21"/>
      <c r="FG447" s="21"/>
      <c r="FH447" s="21"/>
      <c r="FI447" s="21"/>
      <c r="FJ447" s="21"/>
      <c r="FK447" s="21"/>
      <c r="FL447" s="21"/>
      <c r="FM447" s="21"/>
      <c r="FN447" s="21"/>
      <c r="FO447" s="21"/>
      <c r="FP447" s="21"/>
      <c r="FQ447" s="21"/>
      <c r="FR447" s="21"/>
      <c r="FS447" s="21"/>
      <c r="FT447" s="21"/>
      <c r="FU447" s="21"/>
      <c r="FV447" s="21"/>
      <c r="FW447" s="21"/>
      <c r="FX447" s="21"/>
      <c r="FY447" s="21"/>
      <c r="FZ447" s="21"/>
      <c r="GA447" s="21"/>
      <c r="GB447" s="21"/>
      <c r="GC447" s="21"/>
      <c r="GD447" s="21"/>
      <c r="GE447" s="21"/>
      <c r="GF447" s="21"/>
      <c r="GG447" s="21"/>
      <c r="GH447" s="21"/>
      <c r="GI447" s="21"/>
      <c r="GJ447" s="21"/>
      <c r="GK447" s="21"/>
      <c r="GL447" s="21"/>
      <c r="GM447" s="21"/>
      <c r="GN447" s="21"/>
      <c r="GO447" s="21"/>
      <c r="GP447" s="21"/>
      <c r="GQ447" s="21"/>
      <c r="GR447" s="21"/>
      <c r="GS447" s="21"/>
      <c r="GT447" s="21"/>
      <c r="GU447" s="21"/>
      <c r="GV447" s="21"/>
      <c r="GW447" s="21"/>
      <c r="GX447" s="21"/>
      <c r="GY447" s="21"/>
      <c r="GZ447" s="21"/>
      <c r="HA447" s="21"/>
      <c r="HB447" s="21"/>
      <c r="HC447" s="21"/>
      <c r="HD447" s="21"/>
      <c r="HE447" s="21"/>
      <c r="HF447" s="21"/>
      <c r="HG447" s="21"/>
      <c r="HH447" s="21"/>
      <c r="HI447" s="21"/>
      <c r="HJ447" s="21"/>
      <c r="HK447" s="21"/>
      <c r="HL447" s="21"/>
      <c r="HM447" s="21"/>
      <c r="HN447" s="21"/>
      <c r="HO447" s="21"/>
      <c r="HP447" s="21"/>
      <c r="HQ447" s="21"/>
      <c r="HR447" s="21"/>
      <c r="HS447" s="21"/>
      <c r="HT447" s="21"/>
      <c r="HU447" s="21"/>
      <c r="HV447" s="21"/>
      <c r="HW447" s="21"/>
      <c r="HX447" s="21"/>
      <c r="HY447" s="21"/>
      <c r="HZ447" s="21"/>
      <c r="IA447" s="21"/>
      <c r="IB447" s="21"/>
      <c r="IC447" s="21"/>
    </row>
    <row r="448" spans="1:237">
      <c r="A448" s="77"/>
      <c r="B448" s="77"/>
      <c r="C448" s="77"/>
      <c r="D448" s="77"/>
      <c r="E448" s="77"/>
      <c r="F448" s="77"/>
      <c r="G448" s="77"/>
      <c r="H448" s="77"/>
      <c r="I448" s="77"/>
      <c r="J448" s="68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  <c r="DB448" s="21"/>
      <c r="DC448" s="21"/>
      <c r="DD448" s="21"/>
      <c r="DE448" s="21"/>
      <c r="DF448" s="21"/>
      <c r="DG448" s="21"/>
      <c r="DH448" s="21"/>
      <c r="DI448" s="21"/>
      <c r="DJ448" s="21"/>
      <c r="DK448" s="21"/>
      <c r="DL448" s="21"/>
      <c r="DM448" s="21"/>
      <c r="DN448" s="21"/>
      <c r="DO448" s="21"/>
      <c r="DP448" s="21"/>
      <c r="DQ448" s="21"/>
      <c r="DR448" s="21"/>
      <c r="DS448" s="21"/>
      <c r="DT448" s="21"/>
      <c r="DU448" s="21"/>
      <c r="DV448" s="21"/>
      <c r="DW448" s="21"/>
      <c r="DX448" s="21"/>
      <c r="DY448" s="21"/>
      <c r="DZ448" s="21"/>
      <c r="EA448" s="21"/>
      <c r="EB448" s="21"/>
      <c r="EC448" s="21"/>
      <c r="ED448" s="21"/>
      <c r="EE448" s="21"/>
      <c r="EF448" s="21"/>
      <c r="EG448" s="21"/>
      <c r="EH448" s="21"/>
      <c r="EI448" s="21"/>
      <c r="EJ448" s="21"/>
      <c r="EK448" s="21"/>
      <c r="EL448" s="21"/>
      <c r="EM448" s="21"/>
      <c r="EN448" s="21"/>
      <c r="EO448" s="21"/>
      <c r="EP448" s="21"/>
      <c r="EQ448" s="21"/>
      <c r="ER448" s="21"/>
      <c r="ES448" s="21"/>
      <c r="ET448" s="21"/>
      <c r="EU448" s="21"/>
      <c r="EV448" s="21"/>
      <c r="EW448" s="21"/>
      <c r="EX448" s="21"/>
      <c r="EY448" s="21"/>
      <c r="EZ448" s="21"/>
      <c r="FA448" s="21"/>
      <c r="FB448" s="21"/>
      <c r="FC448" s="21"/>
      <c r="FD448" s="21"/>
      <c r="FE448" s="21"/>
      <c r="FF448" s="21"/>
      <c r="FG448" s="21"/>
      <c r="FH448" s="21"/>
      <c r="FI448" s="21"/>
      <c r="FJ448" s="21"/>
      <c r="FK448" s="21"/>
      <c r="FL448" s="21"/>
      <c r="FM448" s="21"/>
      <c r="FN448" s="21"/>
      <c r="FO448" s="21"/>
      <c r="FP448" s="21"/>
      <c r="FQ448" s="21"/>
      <c r="FR448" s="21"/>
      <c r="FS448" s="21"/>
      <c r="FT448" s="21"/>
      <c r="FU448" s="21"/>
      <c r="FV448" s="21"/>
      <c r="FW448" s="21"/>
      <c r="FX448" s="21"/>
      <c r="FY448" s="21"/>
      <c r="FZ448" s="21"/>
      <c r="GA448" s="21"/>
      <c r="GB448" s="21"/>
      <c r="GC448" s="21"/>
      <c r="GD448" s="21"/>
      <c r="GE448" s="21"/>
      <c r="GF448" s="21"/>
      <c r="GG448" s="21"/>
      <c r="GH448" s="21"/>
      <c r="GI448" s="21"/>
      <c r="GJ448" s="21"/>
      <c r="GK448" s="21"/>
      <c r="GL448" s="21"/>
      <c r="GM448" s="21"/>
      <c r="GN448" s="21"/>
      <c r="GO448" s="21"/>
      <c r="GP448" s="21"/>
      <c r="GQ448" s="21"/>
      <c r="GR448" s="21"/>
      <c r="GS448" s="21"/>
      <c r="GT448" s="21"/>
      <c r="GU448" s="21"/>
      <c r="GV448" s="21"/>
      <c r="GW448" s="21"/>
      <c r="GX448" s="21"/>
      <c r="GY448" s="21"/>
      <c r="GZ448" s="21"/>
      <c r="HA448" s="21"/>
      <c r="HB448" s="21"/>
      <c r="HC448" s="21"/>
      <c r="HD448" s="21"/>
      <c r="HE448" s="21"/>
      <c r="HF448" s="21"/>
      <c r="HG448" s="21"/>
      <c r="HH448" s="21"/>
      <c r="HI448" s="21"/>
      <c r="HJ448" s="21"/>
      <c r="HK448" s="21"/>
      <c r="HL448" s="21"/>
      <c r="HM448" s="21"/>
      <c r="HN448" s="21"/>
      <c r="HO448" s="21"/>
      <c r="HP448" s="21"/>
      <c r="HQ448" s="21"/>
      <c r="HR448" s="21"/>
      <c r="HS448" s="21"/>
      <c r="HT448" s="21"/>
      <c r="HU448" s="21"/>
      <c r="HV448" s="21"/>
      <c r="HW448" s="21"/>
      <c r="HX448" s="21"/>
      <c r="HY448" s="21"/>
      <c r="HZ448" s="21"/>
      <c r="IA448" s="21"/>
      <c r="IB448" s="21"/>
      <c r="IC448" s="21"/>
    </row>
    <row r="449" spans="1:237">
      <c r="A449" s="77"/>
      <c r="B449" s="77"/>
      <c r="C449" s="77"/>
      <c r="D449" s="77"/>
      <c r="E449" s="77"/>
      <c r="F449" s="77"/>
      <c r="G449" s="77"/>
      <c r="H449" s="77"/>
      <c r="I449" s="77"/>
      <c r="J449" s="68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  <c r="DB449" s="21"/>
      <c r="DC449" s="21"/>
      <c r="DD449" s="21"/>
      <c r="DE449" s="21"/>
      <c r="DF449" s="21"/>
      <c r="DG449" s="21"/>
      <c r="DH449" s="21"/>
      <c r="DI449" s="21"/>
      <c r="DJ449" s="21"/>
      <c r="DK449" s="21"/>
      <c r="DL449" s="21"/>
      <c r="DM449" s="21"/>
      <c r="DN449" s="21"/>
      <c r="DO449" s="21"/>
      <c r="DP449" s="21"/>
      <c r="DQ449" s="21"/>
      <c r="DR449" s="21"/>
      <c r="DS449" s="21"/>
      <c r="DT449" s="21"/>
      <c r="DU449" s="21"/>
      <c r="DV449" s="21"/>
      <c r="DW449" s="21"/>
      <c r="DX449" s="21"/>
      <c r="DY449" s="21"/>
      <c r="DZ449" s="21"/>
      <c r="EA449" s="21"/>
      <c r="EB449" s="21"/>
      <c r="EC449" s="21"/>
      <c r="ED449" s="21"/>
      <c r="EE449" s="21"/>
      <c r="EF449" s="21"/>
      <c r="EG449" s="21"/>
      <c r="EH449" s="21"/>
      <c r="EI449" s="21"/>
      <c r="EJ449" s="21"/>
      <c r="EK449" s="21"/>
      <c r="EL449" s="21"/>
      <c r="EM449" s="21"/>
      <c r="EN449" s="21"/>
      <c r="EO449" s="21"/>
      <c r="EP449" s="21"/>
      <c r="EQ449" s="21"/>
      <c r="ER449" s="21"/>
      <c r="ES449" s="21"/>
      <c r="ET449" s="21"/>
      <c r="EU449" s="21"/>
      <c r="EV449" s="21"/>
      <c r="EW449" s="21"/>
      <c r="EX449" s="21"/>
      <c r="EY449" s="21"/>
      <c r="EZ449" s="21"/>
      <c r="FA449" s="21"/>
      <c r="FB449" s="21"/>
      <c r="FC449" s="21"/>
      <c r="FD449" s="21"/>
      <c r="FE449" s="21"/>
      <c r="FF449" s="21"/>
      <c r="FG449" s="21"/>
      <c r="FH449" s="21"/>
      <c r="FI449" s="21"/>
      <c r="FJ449" s="21"/>
      <c r="FK449" s="21"/>
      <c r="FL449" s="21"/>
      <c r="FM449" s="21"/>
      <c r="FN449" s="21"/>
      <c r="FO449" s="21"/>
      <c r="FP449" s="21"/>
      <c r="FQ449" s="21"/>
      <c r="FR449" s="21"/>
      <c r="FS449" s="21"/>
      <c r="FT449" s="21"/>
      <c r="FU449" s="21"/>
      <c r="FV449" s="21"/>
      <c r="FW449" s="21"/>
      <c r="FX449" s="21"/>
      <c r="FY449" s="21"/>
      <c r="FZ449" s="21"/>
      <c r="GA449" s="21"/>
      <c r="GB449" s="21"/>
      <c r="GC449" s="21"/>
      <c r="GD449" s="21"/>
      <c r="GE449" s="21"/>
      <c r="GF449" s="21"/>
      <c r="GG449" s="21"/>
      <c r="GH449" s="21"/>
      <c r="GI449" s="21"/>
      <c r="GJ449" s="21"/>
      <c r="GK449" s="21"/>
      <c r="GL449" s="21"/>
      <c r="GM449" s="21"/>
      <c r="GN449" s="21"/>
      <c r="GO449" s="21"/>
      <c r="GP449" s="21"/>
      <c r="GQ449" s="21"/>
      <c r="GR449" s="21"/>
      <c r="GS449" s="21"/>
      <c r="GT449" s="21"/>
      <c r="GU449" s="21"/>
      <c r="GV449" s="21"/>
      <c r="GW449" s="21"/>
      <c r="GX449" s="21"/>
      <c r="GY449" s="21"/>
      <c r="GZ449" s="21"/>
      <c r="HA449" s="21"/>
      <c r="HB449" s="21"/>
      <c r="HC449" s="21"/>
      <c r="HD449" s="21"/>
      <c r="HE449" s="21"/>
      <c r="HF449" s="21"/>
      <c r="HG449" s="21"/>
      <c r="HH449" s="21"/>
      <c r="HI449" s="21"/>
      <c r="HJ449" s="21"/>
      <c r="HK449" s="21"/>
      <c r="HL449" s="21"/>
      <c r="HM449" s="21"/>
      <c r="HN449" s="21"/>
      <c r="HO449" s="21"/>
      <c r="HP449" s="21"/>
      <c r="HQ449" s="21"/>
      <c r="HR449" s="21"/>
      <c r="HS449" s="21"/>
      <c r="HT449" s="21"/>
      <c r="HU449" s="21"/>
      <c r="HV449" s="21"/>
      <c r="HW449" s="21"/>
      <c r="HX449" s="21"/>
      <c r="HY449" s="21"/>
      <c r="HZ449" s="21"/>
      <c r="IA449" s="21"/>
      <c r="IB449" s="21"/>
      <c r="IC449" s="21"/>
    </row>
    <row r="450" spans="1:237">
      <c r="A450" s="77"/>
      <c r="B450" s="77"/>
      <c r="C450" s="77"/>
      <c r="D450" s="77"/>
      <c r="E450" s="77"/>
      <c r="F450" s="77"/>
      <c r="G450" s="77"/>
      <c r="H450" s="77"/>
      <c r="I450" s="77"/>
      <c r="J450" s="68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  <c r="DB450" s="21"/>
      <c r="DC450" s="21"/>
      <c r="DD450" s="21"/>
      <c r="DE450" s="21"/>
      <c r="DF450" s="21"/>
      <c r="DG450" s="21"/>
      <c r="DH450" s="21"/>
      <c r="DI450" s="21"/>
      <c r="DJ450" s="21"/>
      <c r="DK450" s="21"/>
      <c r="DL450" s="21"/>
      <c r="DM450" s="21"/>
      <c r="DN450" s="21"/>
      <c r="DO450" s="21"/>
      <c r="DP450" s="21"/>
      <c r="DQ450" s="21"/>
      <c r="DR450" s="21"/>
      <c r="DS450" s="21"/>
      <c r="DT450" s="21"/>
      <c r="DU450" s="21"/>
      <c r="DV450" s="21"/>
      <c r="DW450" s="21"/>
      <c r="DX450" s="21"/>
      <c r="DY450" s="21"/>
      <c r="DZ450" s="21"/>
      <c r="EA450" s="21"/>
      <c r="EB450" s="21"/>
      <c r="EC450" s="21"/>
      <c r="ED450" s="21"/>
      <c r="EE450" s="21"/>
      <c r="EF450" s="21"/>
      <c r="EG450" s="21"/>
      <c r="EH450" s="21"/>
      <c r="EI450" s="21"/>
      <c r="EJ450" s="21"/>
      <c r="EK450" s="21"/>
      <c r="EL450" s="21"/>
      <c r="EM450" s="21"/>
      <c r="EN450" s="21"/>
      <c r="EO450" s="21"/>
      <c r="EP450" s="21"/>
      <c r="EQ450" s="21"/>
      <c r="ER450" s="21"/>
      <c r="ES450" s="21"/>
      <c r="ET450" s="21"/>
      <c r="EU450" s="21"/>
      <c r="EV450" s="21"/>
      <c r="EW450" s="21"/>
      <c r="EX450" s="21"/>
      <c r="EY450" s="21"/>
      <c r="EZ450" s="21"/>
      <c r="FA450" s="21"/>
      <c r="FB450" s="21"/>
      <c r="FC450" s="21"/>
      <c r="FD450" s="21"/>
      <c r="FE450" s="21"/>
      <c r="FF450" s="21"/>
      <c r="FG450" s="21"/>
      <c r="FH450" s="21"/>
      <c r="FI450" s="21"/>
      <c r="FJ450" s="21"/>
      <c r="FK450" s="21"/>
      <c r="FL450" s="21"/>
      <c r="FM450" s="21"/>
      <c r="FN450" s="21"/>
      <c r="FO450" s="21"/>
      <c r="FP450" s="21"/>
      <c r="FQ450" s="21"/>
      <c r="FR450" s="21"/>
      <c r="FS450" s="21"/>
      <c r="FT450" s="21"/>
      <c r="FU450" s="21"/>
      <c r="FV450" s="21"/>
      <c r="FW450" s="21"/>
      <c r="FX450" s="21"/>
      <c r="FY450" s="21"/>
      <c r="FZ450" s="21"/>
      <c r="GA450" s="21"/>
      <c r="GB450" s="21"/>
      <c r="GC450" s="21"/>
      <c r="GD450" s="21"/>
      <c r="GE450" s="21"/>
      <c r="GF450" s="21"/>
      <c r="GG450" s="21"/>
      <c r="GH450" s="21"/>
      <c r="GI450" s="21"/>
      <c r="GJ450" s="21"/>
      <c r="GK450" s="21"/>
      <c r="GL450" s="21"/>
      <c r="GM450" s="21"/>
      <c r="GN450" s="21"/>
      <c r="GO450" s="21"/>
      <c r="GP450" s="21"/>
      <c r="GQ450" s="21"/>
      <c r="GR450" s="21"/>
      <c r="GS450" s="21"/>
      <c r="GT450" s="21"/>
      <c r="GU450" s="21"/>
      <c r="GV450" s="21"/>
      <c r="GW450" s="21"/>
      <c r="GX450" s="21"/>
      <c r="GY450" s="21"/>
      <c r="GZ450" s="21"/>
      <c r="HA450" s="21"/>
      <c r="HB450" s="21"/>
      <c r="HC450" s="21"/>
      <c r="HD450" s="21"/>
      <c r="HE450" s="21"/>
      <c r="HF450" s="21"/>
      <c r="HG450" s="21"/>
      <c r="HH450" s="21"/>
      <c r="HI450" s="21"/>
      <c r="HJ450" s="21"/>
      <c r="HK450" s="21"/>
      <c r="HL450" s="21"/>
      <c r="HM450" s="21"/>
      <c r="HN450" s="21"/>
      <c r="HO450" s="21"/>
      <c r="HP450" s="21"/>
      <c r="HQ450" s="21"/>
      <c r="HR450" s="21"/>
      <c r="HS450" s="21"/>
      <c r="HT450" s="21"/>
      <c r="HU450" s="21"/>
      <c r="HV450" s="21"/>
      <c r="HW450" s="21"/>
      <c r="HX450" s="21"/>
      <c r="HY450" s="21"/>
      <c r="HZ450" s="21"/>
      <c r="IA450" s="21"/>
      <c r="IB450" s="21"/>
      <c r="IC450" s="21"/>
    </row>
    <row r="451" spans="1:237">
      <c r="A451" s="77"/>
      <c r="B451" s="77"/>
      <c r="C451" s="77"/>
      <c r="D451" s="77"/>
      <c r="E451" s="77"/>
      <c r="F451" s="77"/>
      <c r="G451" s="77"/>
      <c r="H451" s="77"/>
      <c r="I451" s="77"/>
      <c r="J451" s="68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  <c r="DB451" s="21"/>
      <c r="DC451" s="21"/>
      <c r="DD451" s="21"/>
      <c r="DE451" s="21"/>
      <c r="DF451" s="21"/>
      <c r="DG451" s="21"/>
      <c r="DH451" s="21"/>
      <c r="DI451" s="21"/>
      <c r="DJ451" s="21"/>
      <c r="DK451" s="21"/>
      <c r="DL451" s="21"/>
      <c r="DM451" s="21"/>
      <c r="DN451" s="21"/>
      <c r="DO451" s="21"/>
      <c r="DP451" s="21"/>
      <c r="DQ451" s="21"/>
      <c r="DR451" s="21"/>
      <c r="DS451" s="21"/>
      <c r="DT451" s="21"/>
      <c r="DU451" s="21"/>
      <c r="DV451" s="21"/>
      <c r="DW451" s="21"/>
      <c r="DX451" s="21"/>
      <c r="DY451" s="21"/>
      <c r="DZ451" s="21"/>
      <c r="EA451" s="21"/>
      <c r="EB451" s="21"/>
      <c r="EC451" s="21"/>
      <c r="ED451" s="21"/>
      <c r="EE451" s="21"/>
      <c r="EF451" s="21"/>
      <c r="EG451" s="21"/>
      <c r="EH451" s="21"/>
      <c r="EI451" s="21"/>
      <c r="EJ451" s="21"/>
      <c r="EK451" s="21"/>
      <c r="EL451" s="21"/>
      <c r="EM451" s="21"/>
      <c r="EN451" s="21"/>
      <c r="EO451" s="21"/>
      <c r="EP451" s="21"/>
      <c r="EQ451" s="21"/>
      <c r="ER451" s="21"/>
      <c r="ES451" s="21"/>
      <c r="ET451" s="21"/>
      <c r="EU451" s="21"/>
      <c r="EV451" s="21"/>
      <c r="EW451" s="21"/>
      <c r="EX451" s="21"/>
      <c r="EY451" s="21"/>
      <c r="EZ451" s="21"/>
      <c r="FA451" s="21"/>
      <c r="FB451" s="21"/>
      <c r="FC451" s="21"/>
      <c r="FD451" s="21"/>
      <c r="FE451" s="21"/>
      <c r="FF451" s="21"/>
      <c r="FG451" s="21"/>
      <c r="FH451" s="21"/>
      <c r="FI451" s="21"/>
      <c r="FJ451" s="21"/>
      <c r="FK451" s="21"/>
      <c r="FL451" s="21"/>
      <c r="FM451" s="21"/>
      <c r="FN451" s="21"/>
      <c r="FO451" s="21"/>
      <c r="FP451" s="21"/>
      <c r="FQ451" s="21"/>
      <c r="FR451" s="21"/>
      <c r="FS451" s="21"/>
      <c r="FT451" s="21"/>
      <c r="FU451" s="21"/>
      <c r="FV451" s="21"/>
      <c r="FW451" s="21"/>
      <c r="FX451" s="21"/>
      <c r="FY451" s="21"/>
      <c r="FZ451" s="21"/>
      <c r="GA451" s="21"/>
      <c r="GB451" s="21"/>
      <c r="GC451" s="21"/>
      <c r="GD451" s="21"/>
      <c r="GE451" s="21"/>
      <c r="GF451" s="21"/>
      <c r="GG451" s="21"/>
      <c r="GH451" s="21"/>
      <c r="GI451" s="21"/>
      <c r="GJ451" s="21"/>
      <c r="GK451" s="21"/>
      <c r="GL451" s="21"/>
      <c r="GM451" s="21"/>
      <c r="GN451" s="21"/>
      <c r="GO451" s="21"/>
      <c r="GP451" s="21"/>
      <c r="GQ451" s="21"/>
      <c r="GR451" s="21"/>
      <c r="GS451" s="21"/>
      <c r="GT451" s="21"/>
      <c r="GU451" s="21"/>
      <c r="GV451" s="21"/>
      <c r="GW451" s="21"/>
      <c r="GX451" s="21"/>
      <c r="GY451" s="21"/>
      <c r="GZ451" s="21"/>
      <c r="HA451" s="21"/>
      <c r="HB451" s="21"/>
      <c r="HC451" s="21"/>
      <c r="HD451" s="21"/>
      <c r="HE451" s="21"/>
      <c r="HF451" s="21"/>
      <c r="HG451" s="21"/>
      <c r="HH451" s="21"/>
      <c r="HI451" s="21"/>
      <c r="HJ451" s="21"/>
      <c r="HK451" s="21"/>
      <c r="HL451" s="21"/>
      <c r="HM451" s="21"/>
      <c r="HN451" s="21"/>
      <c r="HO451" s="21"/>
      <c r="HP451" s="21"/>
      <c r="HQ451" s="21"/>
      <c r="HR451" s="21"/>
      <c r="HS451" s="21"/>
      <c r="HT451" s="21"/>
      <c r="HU451" s="21"/>
      <c r="HV451" s="21"/>
      <c r="HW451" s="21"/>
      <c r="HX451" s="21"/>
      <c r="HY451" s="21"/>
      <c r="HZ451" s="21"/>
      <c r="IA451" s="21"/>
      <c r="IB451" s="21"/>
      <c r="IC451" s="21"/>
    </row>
    <row r="452" spans="1:237">
      <c r="A452" s="77"/>
      <c r="B452" s="77"/>
      <c r="C452" s="77"/>
      <c r="D452" s="77"/>
      <c r="E452" s="77"/>
      <c r="F452" s="77"/>
      <c r="G452" s="77"/>
      <c r="H452" s="77"/>
      <c r="I452" s="77"/>
      <c r="J452" s="68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  <c r="DB452" s="21"/>
      <c r="DC452" s="21"/>
      <c r="DD452" s="21"/>
      <c r="DE452" s="21"/>
      <c r="DF452" s="21"/>
      <c r="DG452" s="21"/>
      <c r="DH452" s="21"/>
      <c r="DI452" s="21"/>
      <c r="DJ452" s="21"/>
      <c r="DK452" s="21"/>
      <c r="DL452" s="21"/>
      <c r="DM452" s="21"/>
      <c r="DN452" s="21"/>
      <c r="DO452" s="21"/>
      <c r="DP452" s="21"/>
      <c r="DQ452" s="21"/>
      <c r="DR452" s="21"/>
      <c r="DS452" s="21"/>
      <c r="DT452" s="21"/>
      <c r="DU452" s="21"/>
      <c r="DV452" s="21"/>
      <c r="DW452" s="21"/>
      <c r="DX452" s="21"/>
      <c r="DY452" s="21"/>
      <c r="DZ452" s="21"/>
      <c r="EA452" s="21"/>
      <c r="EB452" s="21"/>
      <c r="EC452" s="21"/>
      <c r="ED452" s="21"/>
      <c r="EE452" s="21"/>
      <c r="EF452" s="21"/>
      <c r="EG452" s="21"/>
      <c r="EH452" s="21"/>
      <c r="EI452" s="21"/>
      <c r="EJ452" s="21"/>
      <c r="EK452" s="21"/>
      <c r="EL452" s="21"/>
      <c r="EM452" s="21"/>
      <c r="EN452" s="21"/>
      <c r="EO452" s="21"/>
      <c r="EP452" s="21"/>
      <c r="EQ452" s="21"/>
      <c r="ER452" s="21"/>
      <c r="ES452" s="21"/>
      <c r="ET452" s="21"/>
      <c r="EU452" s="21"/>
      <c r="EV452" s="21"/>
      <c r="EW452" s="21"/>
      <c r="EX452" s="21"/>
      <c r="EY452" s="21"/>
      <c r="EZ452" s="21"/>
      <c r="FA452" s="21"/>
      <c r="FB452" s="21"/>
      <c r="FC452" s="21"/>
      <c r="FD452" s="21"/>
      <c r="FE452" s="21"/>
      <c r="FF452" s="21"/>
      <c r="FG452" s="21"/>
      <c r="FH452" s="21"/>
      <c r="FI452" s="21"/>
      <c r="FJ452" s="21"/>
      <c r="FK452" s="21"/>
      <c r="FL452" s="21"/>
      <c r="FM452" s="21"/>
      <c r="FN452" s="21"/>
      <c r="FO452" s="21"/>
      <c r="FP452" s="21"/>
      <c r="FQ452" s="21"/>
      <c r="FR452" s="21"/>
      <c r="FS452" s="21"/>
      <c r="FT452" s="21"/>
      <c r="FU452" s="21"/>
      <c r="FV452" s="21"/>
      <c r="FW452" s="21"/>
      <c r="FX452" s="21"/>
      <c r="FY452" s="21"/>
      <c r="FZ452" s="21"/>
      <c r="GA452" s="21"/>
      <c r="GB452" s="21"/>
      <c r="GC452" s="21"/>
      <c r="GD452" s="21"/>
      <c r="GE452" s="21"/>
      <c r="GF452" s="21"/>
      <c r="GG452" s="21"/>
      <c r="GH452" s="21"/>
      <c r="GI452" s="21"/>
      <c r="GJ452" s="21"/>
      <c r="GK452" s="21"/>
      <c r="GL452" s="21"/>
      <c r="GM452" s="21"/>
      <c r="GN452" s="21"/>
      <c r="GO452" s="21"/>
      <c r="GP452" s="21"/>
      <c r="GQ452" s="21"/>
      <c r="GR452" s="21"/>
      <c r="GS452" s="21"/>
      <c r="GT452" s="21"/>
      <c r="GU452" s="21"/>
      <c r="GV452" s="21"/>
      <c r="GW452" s="21"/>
      <c r="GX452" s="21"/>
      <c r="GY452" s="21"/>
      <c r="GZ452" s="21"/>
      <c r="HA452" s="21"/>
      <c r="HB452" s="21"/>
      <c r="HC452" s="21"/>
      <c r="HD452" s="21"/>
      <c r="HE452" s="21"/>
      <c r="HF452" s="21"/>
      <c r="HG452" s="21"/>
      <c r="HH452" s="21"/>
      <c r="HI452" s="21"/>
      <c r="HJ452" s="21"/>
      <c r="HK452" s="21"/>
      <c r="HL452" s="21"/>
      <c r="HM452" s="21"/>
      <c r="HN452" s="21"/>
      <c r="HO452" s="21"/>
      <c r="HP452" s="21"/>
      <c r="HQ452" s="21"/>
      <c r="HR452" s="21"/>
      <c r="HS452" s="21"/>
      <c r="HT452" s="21"/>
      <c r="HU452" s="21"/>
      <c r="HV452" s="21"/>
      <c r="HW452" s="21"/>
      <c r="HX452" s="21"/>
      <c r="HY452" s="21"/>
      <c r="HZ452" s="21"/>
      <c r="IA452" s="21"/>
      <c r="IB452" s="21"/>
      <c r="IC452" s="21"/>
    </row>
    <row r="453" spans="1:237">
      <c r="A453" s="77"/>
      <c r="B453" s="77"/>
      <c r="C453" s="77"/>
      <c r="D453" s="77"/>
      <c r="E453" s="77"/>
      <c r="F453" s="77"/>
      <c r="G453" s="77"/>
      <c r="H453" s="77"/>
      <c r="I453" s="77"/>
      <c r="J453" s="68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  <c r="DB453" s="21"/>
      <c r="DC453" s="21"/>
      <c r="DD453" s="21"/>
      <c r="DE453" s="21"/>
      <c r="DF453" s="21"/>
      <c r="DG453" s="21"/>
      <c r="DH453" s="21"/>
      <c r="DI453" s="21"/>
      <c r="DJ453" s="21"/>
      <c r="DK453" s="21"/>
      <c r="DL453" s="21"/>
      <c r="DM453" s="21"/>
      <c r="DN453" s="21"/>
      <c r="DO453" s="21"/>
      <c r="DP453" s="21"/>
      <c r="DQ453" s="21"/>
      <c r="DR453" s="21"/>
      <c r="DS453" s="21"/>
      <c r="DT453" s="21"/>
      <c r="DU453" s="21"/>
      <c r="DV453" s="21"/>
      <c r="DW453" s="21"/>
      <c r="DX453" s="21"/>
      <c r="DY453" s="21"/>
      <c r="DZ453" s="21"/>
      <c r="EA453" s="21"/>
      <c r="EB453" s="21"/>
      <c r="EC453" s="21"/>
      <c r="ED453" s="21"/>
      <c r="EE453" s="21"/>
      <c r="EF453" s="21"/>
      <c r="EG453" s="21"/>
      <c r="EH453" s="21"/>
      <c r="EI453" s="21"/>
      <c r="EJ453" s="21"/>
      <c r="EK453" s="21"/>
      <c r="EL453" s="21"/>
      <c r="EM453" s="21"/>
      <c r="EN453" s="21"/>
      <c r="EO453" s="21"/>
      <c r="EP453" s="21"/>
      <c r="EQ453" s="21"/>
      <c r="ER453" s="21"/>
      <c r="ES453" s="21"/>
      <c r="ET453" s="21"/>
      <c r="EU453" s="21"/>
      <c r="EV453" s="21"/>
      <c r="EW453" s="21"/>
      <c r="EX453" s="21"/>
      <c r="EY453" s="21"/>
      <c r="EZ453" s="21"/>
      <c r="FA453" s="21"/>
      <c r="FB453" s="21"/>
      <c r="FC453" s="21"/>
      <c r="FD453" s="21"/>
      <c r="FE453" s="21"/>
      <c r="FF453" s="21"/>
      <c r="FG453" s="21"/>
      <c r="FH453" s="21"/>
      <c r="FI453" s="21"/>
      <c r="FJ453" s="21"/>
      <c r="FK453" s="21"/>
      <c r="FL453" s="21"/>
      <c r="FM453" s="21"/>
      <c r="FN453" s="21"/>
      <c r="FO453" s="21"/>
      <c r="FP453" s="21"/>
      <c r="FQ453" s="21"/>
      <c r="FR453" s="21"/>
      <c r="FS453" s="21"/>
      <c r="FT453" s="21"/>
      <c r="FU453" s="21"/>
      <c r="FV453" s="21"/>
      <c r="FW453" s="21"/>
      <c r="FX453" s="21"/>
      <c r="FY453" s="21"/>
      <c r="FZ453" s="21"/>
      <c r="GA453" s="21"/>
      <c r="GB453" s="21"/>
      <c r="GC453" s="21"/>
      <c r="GD453" s="21"/>
      <c r="GE453" s="21"/>
      <c r="GF453" s="21"/>
      <c r="GG453" s="21"/>
      <c r="GH453" s="21"/>
      <c r="GI453" s="21"/>
      <c r="GJ453" s="21"/>
      <c r="GK453" s="21"/>
      <c r="GL453" s="21"/>
      <c r="GM453" s="21"/>
      <c r="GN453" s="21"/>
      <c r="GO453" s="21"/>
      <c r="GP453" s="21"/>
      <c r="GQ453" s="21"/>
      <c r="GR453" s="21"/>
      <c r="GS453" s="21"/>
      <c r="GT453" s="21"/>
      <c r="GU453" s="21"/>
      <c r="GV453" s="21"/>
      <c r="GW453" s="21"/>
      <c r="GX453" s="21"/>
      <c r="GY453" s="21"/>
      <c r="GZ453" s="21"/>
      <c r="HA453" s="21"/>
      <c r="HB453" s="21"/>
      <c r="HC453" s="21"/>
      <c r="HD453" s="21"/>
      <c r="HE453" s="21"/>
      <c r="HF453" s="21"/>
      <c r="HG453" s="21"/>
      <c r="HH453" s="21"/>
      <c r="HI453" s="21"/>
      <c r="HJ453" s="21"/>
      <c r="HK453" s="21"/>
      <c r="HL453" s="21"/>
      <c r="HM453" s="21"/>
      <c r="HN453" s="21"/>
      <c r="HO453" s="21"/>
      <c r="HP453" s="21"/>
      <c r="HQ453" s="21"/>
      <c r="HR453" s="21"/>
      <c r="HS453" s="21"/>
      <c r="HT453" s="21"/>
      <c r="HU453" s="21"/>
      <c r="HV453" s="21"/>
      <c r="HW453" s="21"/>
      <c r="HX453" s="21"/>
      <c r="HY453" s="21"/>
      <c r="HZ453" s="21"/>
      <c r="IA453" s="21"/>
      <c r="IB453" s="21"/>
      <c r="IC453" s="21"/>
    </row>
    <row r="454" spans="1:237">
      <c r="A454" s="77"/>
      <c r="B454" s="77"/>
      <c r="C454" s="77"/>
      <c r="D454" s="77"/>
      <c r="E454" s="77"/>
      <c r="F454" s="77"/>
      <c r="G454" s="77"/>
      <c r="H454" s="77"/>
      <c r="I454" s="77"/>
      <c r="J454" s="68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  <c r="DB454" s="21"/>
      <c r="DC454" s="21"/>
      <c r="DD454" s="21"/>
      <c r="DE454" s="21"/>
      <c r="DF454" s="21"/>
      <c r="DG454" s="21"/>
      <c r="DH454" s="21"/>
      <c r="DI454" s="21"/>
      <c r="DJ454" s="21"/>
      <c r="DK454" s="21"/>
      <c r="DL454" s="21"/>
      <c r="DM454" s="21"/>
      <c r="DN454" s="21"/>
      <c r="DO454" s="21"/>
      <c r="DP454" s="21"/>
      <c r="DQ454" s="21"/>
      <c r="DR454" s="21"/>
      <c r="DS454" s="21"/>
      <c r="DT454" s="21"/>
      <c r="DU454" s="21"/>
      <c r="DV454" s="21"/>
      <c r="DW454" s="21"/>
      <c r="DX454" s="21"/>
      <c r="DY454" s="21"/>
      <c r="DZ454" s="21"/>
      <c r="EA454" s="21"/>
      <c r="EB454" s="21"/>
      <c r="EC454" s="21"/>
      <c r="ED454" s="21"/>
      <c r="EE454" s="21"/>
      <c r="EF454" s="21"/>
      <c r="EG454" s="21"/>
      <c r="EH454" s="21"/>
      <c r="EI454" s="21"/>
      <c r="EJ454" s="21"/>
      <c r="EK454" s="21"/>
      <c r="EL454" s="21"/>
      <c r="EM454" s="21"/>
      <c r="EN454" s="21"/>
      <c r="EO454" s="21"/>
      <c r="EP454" s="21"/>
      <c r="EQ454" s="21"/>
      <c r="ER454" s="21"/>
      <c r="ES454" s="21"/>
      <c r="ET454" s="21"/>
      <c r="EU454" s="21"/>
      <c r="EV454" s="21"/>
      <c r="EW454" s="21"/>
      <c r="EX454" s="21"/>
      <c r="EY454" s="21"/>
      <c r="EZ454" s="21"/>
      <c r="FA454" s="21"/>
      <c r="FB454" s="21"/>
      <c r="FC454" s="21"/>
      <c r="FD454" s="21"/>
      <c r="FE454" s="21"/>
      <c r="FF454" s="21"/>
      <c r="FG454" s="21"/>
      <c r="FH454" s="21"/>
      <c r="FI454" s="21"/>
      <c r="FJ454" s="21"/>
      <c r="FK454" s="21"/>
      <c r="FL454" s="21"/>
      <c r="FM454" s="21"/>
      <c r="FN454" s="21"/>
      <c r="FO454" s="21"/>
      <c r="FP454" s="21"/>
      <c r="FQ454" s="21"/>
      <c r="FR454" s="21"/>
      <c r="FS454" s="21"/>
      <c r="FT454" s="21"/>
      <c r="FU454" s="21"/>
      <c r="FV454" s="21"/>
      <c r="FW454" s="21"/>
      <c r="FX454" s="21"/>
      <c r="FY454" s="21"/>
      <c r="FZ454" s="21"/>
      <c r="GA454" s="21"/>
      <c r="GB454" s="21"/>
      <c r="GC454" s="21"/>
      <c r="GD454" s="21"/>
      <c r="GE454" s="21"/>
      <c r="GF454" s="21"/>
      <c r="GG454" s="21"/>
      <c r="GH454" s="21"/>
      <c r="GI454" s="21"/>
      <c r="GJ454" s="21"/>
      <c r="GK454" s="21"/>
      <c r="GL454" s="21"/>
      <c r="GM454" s="21"/>
      <c r="GN454" s="21"/>
      <c r="GO454" s="21"/>
      <c r="GP454" s="21"/>
      <c r="GQ454" s="21"/>
      <c r="GR454" s="21"/>
      <c r="GS454" s="21"/>
      <c r="GT454" s="21"/>
      <c r="GU454" s="21"/>
      <c r="GV454" s="21"/>
      <c r="GW454" s="21"/>
      <c r="GX454" s="21"/>
      <c r="GY454" s="21"/>
      <c r="GZ454" s="21"/>
      <c r="HA454" s="21"/>
      <c r="HB454" s="21"/>
      <c r="HC454" s="21"/>
      <c r="HD454" s="21"/>
      <c r="HE454" s="21"/>
      <c r="HF454" s="21"/>
      <c r="HG454" s="21"/>
      <c r="HH454" s="21"/>
      <c r="HI454" s="21"/>
      <c r="HJ454" s="21"/>
      <c r="HK454" s="21"/>
      <c r="HL454" s="21"/>
      <c r="HM454" s="21"/>
      <c r="HN454" s="21"/>
      <c r="HO454" s="21"/>
      <c r="HP454" s="21"/>
      <c r="HQ454" s="21"/>
      <c r="HR454" s="21"/>
      <c r="HS454" s="21"/>
      <c r="HT454" s="21"/>
      <c r="HU454" s="21"/>
      <c r="HV454" s="21"/>
      <c r="HW454" s="21"/>
      <c r="HX454" s="21"/>
      <c r="HY454" s="21"/>
      <c r="HZ454" s="21"/>
      <c r="IA454" s="21"/>
      <c r="IB454" s="21"/>
      <c r="IC454" s="21"/>
    </row>
    <row r="455" spans="1:237">
      <c r="A455" s="77"/>
      <c r="B455" s="77"/>
      <c r="C455" s="77"/>
      <c r="D455" s="77"/>
      <c r="E455" s="77"/>
      <c r="F455" s="77"/>
      <c r="G455" s="77"/>
      <c r="H455" s="77"/>
      <c r="I455" s="77"/>
      <c r="J455" s="68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  <c r="DB455" s="21"/>
      <c r="DC455" s="21"/>
      <c r="DD455" s="21"/>
      <c r="DE455" s="21"/>
      <c r="DF455" s="21"/>
      <c r="DG455" s="21"/>
      <c r="DH455" s="21"/>
      <c r="DI455" s="21"/>
      <c r="DJ455" s="21"/>
      <c r="DK455" s="21"/>
      <c r="DL455" s="21"/>
      <c r="DM455" s="21"/>
      <c r="DN455" s="21"/>
      <c r="DO455" s="21"/>
      <c r="DP455" s="21"/>
      <c r="DQ455" s="21"/>
      <c r="DR455" s="21"/>
      <c r="DS455" s="21"/>
      <c r="DT455" s="21"/>
      <c r="DU455" s="21"/>
      <c r="DV455" s="21"/>
      <c r="DW455" s="21"/>
      <c r="DX455" s="21"/>
      <c r="DY455" s="21"/>
      <c r="DZ455" s="21"/>
      <c r="EA455" s="21"/>
      <c r="EB455" s="21"/>
      <c r="EC455" s="21"/>
      <c r="ED455" s="21"/>
      <c r="EE455" s="21"/>
      <c r="EF455" s="21"/>
      <c r="EG455" s="21"/>
      <c r="EH455" s="21"/>
      <c r="EI455" s="21"/>
      <c r="EJ455" s="21"/>
      <c r="EK455" s="21"/>
      <c r="EL455" s="21"/>
      <c r="EM455" s="21"/>
      <c r="EN455" s="21"/>
      <c r="EO455" s="21"/>
      <c r="EP455" s="21"/>
      <c r="EQ455" s="21"/>
      <c r="ER455" s="21"/>
      <c r="ES455" s="21"/>
      <c r="ET455" s="21"/>
      <c r="EU455" s="21"/>
      <c r="EV455" s="21"/>
      <c r="EW455" s="21"/>
      <c r="EX455" s="21"/>
      <c r="EY455" s="21"/>
      <c r="EZ455" s="21"/>
      <c r="FA455" s="21"/>
      <c r="FB455" s="21"/>
      <c r="FC455" s="21"/>
      <c r="FD455" s="21"/>
      <c r="FE455" s="21"/>
      <c r="FF455" s="21"/>
      <c r="FG455" s="21"/>
      <c r="FH455" s="21"/>
      <c r="FI455" s="21"/>
      <c r="FJ455" s="21"/>
      <c r="FK455" s="21"/>
      <c r="FL455" s="21"/>
      <c r="FM455" s="21"/>
      <c r="FN455" s="21"/>
      <c r="FO455" s="21"/>
      <c r="FP455" s="21"/>
      <c r="FQ455" s="21"/>
      <c r="FR455" s="21"/>
      <c r="FS455" s="21"/>
      <c r="FT455" s="21"/>
      <c r="FU455" s="21"/>
      <c r="FV455" s="21"/>
      <c r="FW455" s="21"/>
      <c r="FX455" s="21"/>
      <c r="FY455" s="21"/>
      <c r="FZ455" s="21"/>
      <c r="GA455" s="21"/>
      <c r="GB455" s="21"/>
      <c r="GC455" s="21"/>
      <c r="GD455" s="21"/>
      <c r="GE455" s="21"/>
      <c r="GF455" s="21"/>
      <c r="GG455" s="21"/>
      <c r="GH455" s="21"/>
      <c r="GI455" s="21"/>
      <c r="GJ455" s="21"/>
      <c r="GK455" s="21"/>
      <c r="GL455" s="21"/>
      <c r="GM455" s="21"/>
      <c r="GN455" s="21"/>
      <c r="GO455" s="21"/>
      <c r="GP455" s="21"/>
      <c r="GQ455" s="21"/>
      <c r="GR455" s="21"/>
      <c r="GS455" s="21"/>
      <c r="GT455" s="21"/>
      <c r="GU455" s="21"/>
      <c r="GV455" s="21"/>
      <c r="GW455" s="21"/>
      <c r="GX455" s="21"/>
      <c r="GY455" s="21"/>
      <c r="GZ455" s="21"/>
      <c r="HA455" s="21"/>
      <c r="HB455" s="21"/>
      <c r="HC455" s="21"/>
      <c r="HD455" s="21"/>
      <c r="HE455" s="21"/>
      <c r="HF455" s="21"/>
      <c r="HG455" s="21"/>
      <c r="HH455" s="21"/>
      <c r="HI455" s="21"/>
      <c r="HJ455" s="21"/>
      <c r="HK455" s="21"/>
      <c r="HL455" s="21"/>
      <c r="HM455" s="21"/>
      <c r="HN455" s="21"/>
      <c r="HO455" s="21"/>
      <c r="HP455" s="21"/>
      <c r="HQ455" s="21"/>
      <c r="HR455" s="21"/>
      <c r="HS455" s="21"/>
      <c r="HT455" s="21"/>
      <c r="HU455" s="21"/>
      <c r="HV455" s="21"/>
      <c r="HW455" s="21"/>
      <c r="HX455" s="21"/>
      <c r="HY455" s="21"/>
      <c r="HZ455" s="21"/>
      <c r="IA455" s="21"/>
      <c r="IB455" s="21"/>
      <c r="IC455" s="21"/>
    </row>
    <row r="456" spans="1:237">
      <c r="A456" s="77"/>
      <c r="B456" s="77"/>
      <c r="C456" s="77"/>
      <c r="D456" s="77"/>
      <c r="E456" s="77"/>
      <c r="F456" s="77"/>
      <c r="G456" s="77"/>
      <c r="H456" s="77"/>
      <c r="I456" s="77"/>
      <c r="J456" s="68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  <c r="DB456" s="21"/>
      <c r="DC456" s="21"/>
      <c r="DD456" s="21"/>
      <c r="DE456" s="21"/>
      <c r="DF456" s="21"/>
      <c r="DG456" s="21"/>
      <c r="DH456" s="21"/>
      <c r="DI456" s="21"/>
      <c r="DJ456" s="21"/>
      <c r="DK456" s="21"/>
      <c r="DL456" s="21"/>
      <c r="DM456" s="21"/>
      <c r="DN456" s="21"/>
      <c r="DO456" s="21"/>
      <c r="DP456" s="21"/>
      <c r="DQ456" s="21"/>
      <c r="DR456" s="21"/>
      <c r="DS456" s="21"/>
      <c r="DT456" s="21"/>
      <c r="DU456" s="21"/>
      <c r="DV456" s="21"/>
      <c r="DW456" s="21"/>
      <c r="DX456" s="21"/>
      <c r="DY456" s="21"/>
      <c r="DZ456" s="21"/>
      <c r="EA456" s="21"/>
      <c r="EB456" s="21"/>
      <c r="EC456" s="21"/>
      <c r="ED456" s="21"/>
      <c r="EE456" s="21"/>
      <c r="EF456" s="21"/>
      <c r="EG456" s="21"/>
      <c r="EH456" s="21"/>
      <c r="EI456" s="21"/>
      <c r="EJ456" s="21"/>
      <c r="EK456" s="21"/>
      <c r="EL456" s="21"/>
      <c r="EM456" s="21"/>
      <c r="EN456" s="21"/>
      <c r="EO456" s="21"/>
      <c r="EP456" s="21"/>
      <c r="EQ456" s="21"/>
      <c r="ER456" s="21"/>
      <c r="ES456" s="21"/>
      <c r="ET456" s="21"/>
      <c r="EU456" s="21"/>
      <c r="EV456" s="21"/>
      <c r="EW456" s="21"/>
      <c r="EX456" s="21"/>
      <c r="EY456" s="21"/>
      <c r="EZ456" s="21"/>
      <c r="FA456" s="21"/>
      <c r="FB456" s="21"/>
      <c r="FC456" s="21"/>
      <c r="FD456" s="21"/>
      <c r="FE456" s="21"/>
      <c r="FF456" s="21"/>
      <c r="FG456" s="21"/>
      <c r="FH456" s="21"/>
      <c r="FI456" s="21"/>
      <c r="FJ456" s="21"/>
      <c r="FK456" s="21"/>
      <c r="FL456" s="21"/>
      <c r="FM456" s="21"/>
      <c r="FN456" s="21"/>
      <c r="FO456" s="21"/>
      <c r="FP456" s="21"/>
      <c r="FQ456" s="21"/>
      <c r="FR456" s="21"/>
      <c r="FS456" s="21"/>
      <c r="FT456" s="21"/>
      <c r="FU456" s="21"/>
      <c r="FV456" s="21"/>
      <c r="FW456" s="21"/>
      <c r="FX456" s="21"/>
      <c r="FY456" s="21"/>
      <c r="FZ456" s="21"/>
      <c r="GA456" s="21"/>
      <c r="GB456" s="21"/>
      <c r="GC456" s="21"/>
      <c r="GD456" s="21"/>
      <c r="GE456" s="21"/>
      <c r="GF456" s="21"/>
      <c r="GG456" s="21"/>
      <c r="GH456" s="21"/>
      <c r="GI456" s="21"/>
      <c r="GJ456" s="21"/>
      <c r="GK456" s="21"/>
      <c r="GL456" s="21"/>
      <c r="GM456" s="21"/>
      <c r="GN456" s="21"/>
      <c r="GO456" s="21"/>
      <c r="GP456" s="21"/>
      <c r="GQ456" s="21"/>
      <c r="GR456" s="21"/>
      <c r="GS456" s="21"/>
      <c r="GT456" s="21"/>
      <c r="GU456" s="21"/>
      <c r="GV456" s="21"/>
      <c r="GW456" s="21"/>
      <c r="GX456" s="21"/>
      <c r="GY456" s="21"/>
      <c r="GZ456" s="21"/>
      <c r="HA456" s="21"/>
      <c r="HB456" s="21"/>
      <c r="HC456" s="21"/>
      <c r="HD456" s="21"/>
      <c r="HE456" s="21"/>
      <c r="HF456" s="21"/>
      <c r="HG456" s="21"/>
      <c r="HH456" s="21"/>
      <c r="HI456" s="21"/>
      <c r="HJ456" s="21"/>
      <c r="HK456" s="21"/>
      <c r="HL456" s="21"/>
      <c r="HM456" s="21"/>
      <c r="HN456" s="21"/>
      <c r="HO456" s="21"/>
      <c r="HP456" s="21"/>
      <c r="HQ456" s="21"/>
      <c r="HR456" s="21"/>
      <c r="HS456" s="21"/>
      <c r="HT456" s="21"/>
      <c r="HU456" s="21"/>
      <c r="HV456" s="21"/>
      <c r="HW456" s="21"/>
      <c r="HX456" s="21"/>
      <c r="HY456" s="21"/>
      <c r="HZ456" s="21"/>
      <c r="IA456" s="21"/>
      <c r="IB456" s="21"/>
      <c r="IC456" s="21"/>
    </row>
    <row r="457" spans="1:237">
      <c r="A457" s="77"/>
      <c r="B457" s="77"/>
      <c r="C457" s="77"/>
      <c r="D457" s="77"/>
      <c r="E457" s="77"/>
      <c r="F457" s="77"/>
      <c r="G457" s="77"/>
      <c r="H457" s="77"/>
      <c r="I457" s="77"/>
      <c r="J457" s="68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  <c r="DB457" s="21"/>
      <c r="DC457" s="21"/>
      <c r="DD457" s="21"/>
      <c r="DE457" s="21"/>
      <c r="DF457" s="21"/>
      <c r="DG457" s="21"/>
      <c r="DH457" s="21"/>
      <c r="DI457" s="21"/>
      <c r="DJ457" s="21"/>
      <c r="DK457" s="21"/>
      <c r="DL457" s="21"/>
      <c r="DM457" s="21"/>
      <c r="DN457" s="21"/>
      <c r="DO457" s="21"/>
      <c r="DP457" s="21"/>
      <c r="DQ457" s="21"/>
      <c r="DR457" s="21"/>
      <c r="DS457" s="21"/>
      <c r="DT457" s="21"/>
      <c r="DU457" s="21"/>
      <c r="DV457" s="21"/>
      <c r="DW457" s="21"/>
      <c r="DX457" s="21"/>
      <c r="DY457" s="21"/>
      <c r="DZ457" s="21"/>
      <c r="EA457" s="21"/>
      <c r="EB457" s="21"/>
      <c r="EC457" s="21"/>
      <c r="ED457" s="21"/>
      <c r="EE457" s="21"/>
      <c r="EF457" s="21"/>
      <c r="EG457" s="21"/>
      <c r="EH457" s="21"/>
      <c r="EI457" s="21"/>
      <c r="EJ457" s="21"/>
      <c r="EK457" s="21"/>
      <c r="EL457" s="21"/>
      <c r="EM457" s="21"/>
      <c r="EN457" s="21"/>
      <c r="EO457" s="21"/>
      <c r="EP457" s="21"/>
      <c r="EQ457" s="21"/>
      <c r="ER457" s="21"/>
      <c r="ES457" s="21"/>
      <c r="ET457" s="21"/>
      <c r="EU457" s="21"/>
      <c r="EV457" s="21"/>
      <c r="EW457" s="21"/>
      <c r="EX457" s="21"/>
      <c r="EY457" s="21"/>
      <c r="EZ457" s="21"/>
      <c r="FA457" s="21"/>
      <c r="FB457" s="21"/>
      <c r="FC457" s="21"/>
      <c r="FD457" s="21"/>
      <c r="FE457" s="21"/>
      <c r="FF457" s="21"/>
      <c r="FG457" s="21"/>
      <c r="FH457" s="21"/>
      <c r="FI457" s="21"/>
      <c r="FJ457" s="21"/>
      <c r="FK457" s="21"/>
      <c r="FL457" s="21"/>
      <c r="FM457" s="21"/>
      <c r="FN457" s="21"/>
      <c r="FO457" s="21"/>
      <c r="FP457" s="21"/>
      <c r="FQ457" s="21"/>
      <c r="FR457" s="21"/>
      <c r="FS457" s="21"/>
      <c r="FT457" s="21"/>
      <c r="FU457" s="21"/>
      <c r="FV457" s="21"/>
      <c r="FW457" s="21"/>
      <c r="FX457" s="21"/>
      <c r="FY457" s="21"/>
      <c r="FZ457" s="21"/>
      <c r="GA457" s="21"/>
      <c r="GB457" s="21"/>
      <c r="GC457" s="21"/>
      <c r="GD457" s="21"/>
      <c r="GE457" s="21"/>
      <c r="GF457" s="21"/>
      <c r="GG457" s="21"/>
      <c r="GH457" s="21"/>
      <c r="GI457" s="21"/>
      <c r="GJ457" s="21"/>
      <c r="GK457" s="21"/>
      <c r="GL457" s="21"/>
      <c r="GM457" s="21"/>
      <c r="GN457" s="21"/>
      <c r="GO457" s="21"/>
      <c r="GP457" s="21"/>
      <c r="GQ457" s="21"/>
      <c r="GR457" s="21"/>
      <c r="GS457" s="21"/>
      <c r="GT457" s="21"/>
      <c r="GU457" s="21"/>
      <c r="GV457" s="21"/>
      <c r="GW457" s="21"/>
      <c r="GX457" s="21"/>
      <c r="GY457" s="21"/>
      <c r="GZ457" s="21"/>
      <c r="HA457" s="21"/>
      <c r="HB457" s="21"/>
      <c r="HC457" s="21"/>
      <c r="HD457" s="21"/>
      <c r="HE457" s="21"/>
      <c r="HF457" s="21"/>
      <c r="HG457" s="21"/>
      <c r="HH457" s="21"/>
      <c r="HI457" s="21"/>
      <c r="HJ457" s="21"/>
      <c r="HK457" s="21"/>
      <c r="HL457" s="21"/>
      <c r="HM457" s="21"/>
      <c r="HN457" s="21"/>
      <c r="HO457" s="21"/>
      <c r="HP457" s="21"/>
      <c r="HQ457" s="21"/>
      <c r="HR457" s="21"/>
      <c r="HS457" s="21"/>
      <c r="HT457" s="21"/>
      <c r="HU457" s="21"/>
      <c r="HV457" s="21"/>
      <c r="HW457" s="21"/>
      <c r="HX457" s="21"/>
      <c r="HY457" s="21"/>
      <c r="HZ457" s="21"/>
      <c r="IA457" s="21"/>
      <c r="IB457" s="21"/>
      <c r="IC457" s="21"/>
    </row>
    <row r="458" spans="1:237">
      <c r="A458" s="77"/>
      <c r="B458" s="77"/>
      <c r="C458" s="77"/>
      <c r="D458" s="77"/>
      <c r="E458" s="77"/>
      <c r="F458" s="77"/>
      <c r="G458" s="77"/>
      <c r="H458" s="77"/>
      <c r="I458" s="77"/>
      <c r="J458" s="68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  <c r="DB458" s="21"/>
      <c r="DC458" s="21"/>
      <c r="DD458" s="21"/>
      <c r="DE458" s="21"/>
      <c r="DF458" s="21"/>
      <c r="DG458" s="21"/>
      <c r="DH458" s="21"/>
      <c r="DI458" s="21"/>
      <c r="DJ458" s="21"/>
      <c r="DK458" s="21"/>
      <c r="DL458" s="21"/>
      <c r="DM458" s="21"/>
      <c r="DN458" s="21"/>
      <c r="DO458" s="21"/>
      <c r="DP458" s="21"/>
      <c r="DQ458" s="21"/>
      <c r="DR458" s="21"/>
      <c r="DS458" s="21"/>
      <c r="DT458" s="21"/>
      <c r="DU458" s="21"/>
      <c r="DV458" s="21"/>
      <c r="DW458" s="21"/>
      <c r="DX458" s="21"/>
      <c r="DY458" s="21"/>
      <c r="DZ458" s="21"/>
      <c r="EA458" s="21"/>
      <c r="EB458" s="21"/>
      <c r="EC458" s="21"/>
      <c r="ED458" s="21"/>
      <c r="EE458" s="21"/>
      <c r="EF458" s="21"/>
      <c r="EG458" s="21"/>
      <c r="EH458" s="21"/>
      <c r="EI458" s="21"/>
      <c r="EJ458" s="21"/>
      <c r="EK458" s="21"/>
      <c r="EL458" s="21"/>
      <c r="EM458" s="21"/>
      <c r="EN458" s="21"/>
      <c r="EO458" s="21"/>
      <c r="EP458" s="21"/>
      <c r="EQ458" s="21"/>
      <c r="ER458" s="21"/>
      <c r="ES458" s="21"/>
      <c r="ET458" s="21"/>
      <c r="EU458" s="21"/>
      <c r="EV458" s="21"/>
      <c r="EW458" s="21"/>
      <c r="EX458" s="21"/>
      <c r="EY458" s="21"/>
      <c r="EZ458" s="21"/>
      <c r="FA458" s="21"/>
      <c r="FB458" s="21"/>
      <c r="FC458" s="21"/>
      <c r="FD458" s="21"/>
      <c r="FE458" s="21"/>
      <c r="FF458" s="21"/>
      <c r="FG458" s="21"/>
      <c r="FH458" s="21"/>
      <c r="FI458" s="21"/>
      <c r="FJ458" s="21"/>
      <c r="FK458" s="21"/>
      <c r="FL458" s="21"/>
      <c r="FM458" s="21"/>
      <c r="FN458" s="21"/>
      <c r="FO458" s="21"/>
      <c r="FP458" s="21"/>
      <c r="FQ458" s="21"/>
      <c r="FR458" s="21"/>
      <c r="FS458" s="21"/>
      <c r="FT458" s="21"/>
      <c r="FU458" s="21"/>
      <c r="FV458" s="21"/>
      <c r="FW458" s="21"/>
      <c r="FX458" s="21"/>
      <c r="FY458" s="21"/>
      <c r="FZ458" s="21"/>
      <c r="GA458" s="21"/>
      <c r="GB458" s="21"/>
      <c r="GC458" s="21"/>
      <c r="GD458" s="21"/>
      <c r="GE458" s="21"/>
      <c r="GF458" s="21"/>
      <c r="GG458" s="21"/>
      <c r="GH458" s="21"/>
      <c r="GI458" s="21"/>
      <c r="GJ458" s="21"/>
      <c r="GK458" s="21"/>
      <c r="GL458" s="21"/>
      <c r="GM458" s="21"/>
      <c r="GN458" s="21"/>
      <c r="GO458" s="21"/>
      <c r="GP458" s="21"/>
      <c r="GQ458" s="21"/>
      <c r="GR458" s="21"/>
      <c r="GS458" s="21"/>
      <c r="GT458" s="21"/>
      <c r="GU458" s="21"/>
      <c r="GV458" s="21"/>
      <c r="GW458" s="21"/>
      <c r="GX458" s="21"/>
      <c r="GY458" s="21"/>
      <c r="GZ458" s="21"/>
      <c r="HA458" s="21"/>
      <c r="HB458" s="21"/>
      <c r="HC458" s="21"/>
      <c r="HD458" s="21"/>
      <c r="HE458" s="21"/>
      <c r="HF458" s="21"/>
      <c r="HG458" s="21"/>
      <c r="HH458" s="21"/>
      <c r="HI458" s="21"/>
      <c r="HJ458" s="21"/>
      <c r="HK458" s="21"/>
      <c r="HL458" s="21"/>
      <c r="HM458" s="21"/>
      <c r="HN458" s="21"/>
      <c r="HO458" s="21"/>
      <c r="HP458" s="21"/>
      <c r="HQ458" s="21"/>
      <c r="HR458" s="21"/>
      <c r="HS458" s="21"/>
      <c r="HT458" s="21"/>
      <c r="HU458" s="21"/>
      <c r="HV458" s="21"/>
      <c r="HW458" s="21"/>
      <c r="HX458" s="21"/>
      <c r="HY458" s="21"/>
      <c r="HZ458" s="21"/>
      <c r="IA458" s="21"/>
      <c r="IB458" s="21"/>
      <c r="IC458" s="21"/>
    </row>
    <row r="459" spans="1:237">
      <c r="A459" s="77"/>
      <c r="B459" s="77"/>
      <c r="C459" s="77"/>
      <c r="D459" s="77"/>
      <c r="E459" s="77"/>
      <c r="F459" s="77"/>
      <c r="G459" s="77"/>
      <c r="H459" s="77"/>
      <c r="I459" s="77"/>
      <c r="J459" s="68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  <c r="DB459" s="21"/>
      <c r="DC459" s="21"/>
      <c r="DD459" s="21"/>
      <c r="DE459" s="21"/>
      <c r="DF459" s="21"/>
      <c r="DG459" s="21"/>
      <c r="DH459" s="21"/>
      <c r="DI459" s="21"/>
      <c r="DJ459" s="21"/>
      <c r="DK459" s="21"/>
      <c r="DL459" s="21"/>
      <c r="DM459" s="21"/>
      <c r="DN459" s="21"/>
      <c r="DO459" s="21"/>
      <c r="DP459" s="21"/>
      <c r="DQ459" s="21"/>
      <c r="DR459" s="21"/>
      <c r="DS459" s="21"/>
      <c r="DT459" s="21"/>
      <c r="DU459" s="21"/>
      <c r="DV459" s="21"/>
      <c r="DW459" s="21"/>
      <c r="DX459" s="21"/>
      <c r="DY459" s="21"/>
      <c r="DZ459" s="21"/>
      <c r="EA459" s="21"/>
      <c r="EB459" s="21"/>
      <c r="EC459" s="21"/>
      <c r="ED459" s="21"/>
      <c r="EE459" s="21"/>
      <c r="EF459" s="21"/>
      <c r="EG459" s="21"/>
      <c r="EH459" s="21"/>
      <c r="EI459" s="21"/>
      <c r="EJ459" s="21"/>
      <c r="EK459" s="21"/>
      <c r="EL459" s="21"/>
      <c r="EM459" s="21"/>
      <c r="EN459" s="21"/>
      <c r="EO459" s="21"/>
      <c r="EP459" s="21"/>
      <c r="EQ459" s="21"/>
      <c r="ER459" s="21"/>
      <c r="ES459" s="21"/>
      <c r="ET459" s="21"/>
      <c r="EU459" s="21"/>
      <c r="EV459" s="21"/>
      <c r="EW459" s="21"/>
      <c r="EX459" s="21"/>
      <c r="EY459" s="21"/>
      <c r="EZ459" s="21"/>
      <c r="FA459" s="21"/>
      <c r="FB459" s="21"/>
      <c r="FC459" s="21"/>
      <c r="FD459" s="21"/>
      <c r="FE459" s="21"/>
      <c r="FF459" s="21"/>
      <c r="FG459" s="21"/>
      <c r="FH459" s="21"/>
      <c r="FI459" s="21"/>
      <c r="FJ459" s="21"/>
      <c r="FK459" s="21"/>
      <c r="FL459" s="21"/>
      <c r="FM459" s="21"/>
      <c r="FN459" s="21"/>
      <c r="FO459" s="21"/>
      <c r="FP459" s="21"/>
      <c r="FQ459" s="21"/>
      <c r="FR459" s="21"/>
      <c r="FS459" s="21"/>
      <c r="FT459" s="21"/>
      <c r="FU459" s="21"/>
      <c r="FV459" s="21"/>
      <c r="FW459" s="21"/>
      <c r="FX459" s="21"/>
      <c r="FY459" s="21"/>
      <c r="FZ459" s="21"/>
      <c r="GA459" s="21"/>
      <c r="GB459" s="21"/>
      <c r="GC459" s="21"/>
      <c r="GD459" s="21"/>
      <c r="GE459" s="21"/>
      <c r="GF459" s="21"/>
      <c r="GG459" s="21"/>
      <c r="GH459" s="21"/>
      <c r="GI459" s="21"/>
      <c r="GJ459" s="21"/>
      <c r="GK459" s="21"/>
      <c r="GL459" s="21"/>
      <c r="GM459" s="21"/>
      <c r="GN459" s="21"/>
      <c r="GO459" s="21"/>
      <c r="GP459" s="21"/>
      <c r="GQ459" s="21"/>
      <c r="GR459" s="21"/>
      <c r="GS459" s="21"/>
      <c r="GT459" s="21"/>
      <c r="GU459" s="21"/>
      <c r="GV459" s="21"/>
      <c r="GW459" s="21"/>
      <c r="GX459" s="21"/>
      <c r="GY459" s="21"/>
      <c r="GZ459" s="21"/>
      <c r="HA459" s="21"/>
      <c r="HB459" s="21"/>
      <c r="HC459" s="21"/>
      <c r="HD459" s="21"/>
      <c r="HE459" s="21"/>
      <c r="HF459" s="21"/>
      <c r="HG459" s="21"/>
      <c r="HH459" s="21"/>
      <c r="HI459" s="21"/>
      <c r="HJ459" s="21"/>
      <c r="HK459" s="21"/>
      <c r="HL459" s="21"/>
      <c r="HM459" s="21"/>
      <c r="HN459" s="21"/>
      <c r="HO459" s="21"/>
      <c r="HP459" s="21"/>
      <c r="HQ459" s="21"/>
      <c r="HR459" s="21"/>
      <c r="HS459" s="21"/>
      <c r="HT459" s="21"/>
      <c r="HU459" s="21"/>
      <c r="HV459" s="21"/>
      <c r="HW459" s="21"/>
      <c r="HX459" s="21"/>
      <c r="HY459" s="21"/>
      <c r="HZ459" s="21"/>
      <c r="IA459" s="21"/>
      <c r="IB459" s="21"/>
      <c r="IC459" s="21"/>
    </row>
    <row r="460" spans="1:237">
      <c r="A460" s="77"/>
      <c r="B460" s="77"/>
      <c r="C460" s="77"/>
      <c r="D460" s="77"/>
      <c r="E460" s="77"/>
      <c r="F460" s="77"/>
      <c r="G460" s="77"/>
      <c r="H460" s="77"/>
      <c r="I460" s="77"/>
      <c r="J460" s="68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  <c r="DB460" s="21"/>
      <c r="DC460" s="21"/>
      <c r="DD460" s="21"/>
      <c r="DE460" s="21"/>
      <c r="DF460" s="21"/>
      <c r="DG460" s="21"/>
      <c r="DH460" s="21"/>
      <c r="DI460" s="21"/>
      <c r="DJ460" s="21"/>
      <c r="DK460" s="21"/>
      <c r="DL460" s="21"/>
      <c r="DM460" s="21"/>
      <c r="DN460" s="21"/>
      <c r="DO460" s="21"/>
      <c r="DP460" s="21"/>
      <c r="DQ460" s="21"/>
      <c r="DR460" s="21"/>
      <c r="DS460" s="21"/>
      <c r="DT460" s="21"/>
      <c r="DU460" s="21"/>
      <c r="DV460" s="21"/>
      <c r="DW460" s="21"/>
      <c r="DX460" s="21"/>
      <c r="DY460" s="21"/>
      <c r="DZ460" s="21"/>
      <c r="EA460" s="21"/>
      <c r="EB460" s="21"/>
      <c r="EC460" s="21"/>
      <c r="ED460" s="21"/>
      <c r="EE460" s="21"/>
      <c r="EF460" s="21"/>
      <c r="EG460" s="21"/>
      <c r="EH460" s="21"/>
      <c r="EI460" s="21"/>
      <c r="EJ460" s="21"/>
      <c r="EK460" s="21"/>
      <c r="EL460" s="21"/>
      <c r="EM460" s="21"/>
      <c r="EN460" s="21"/>
      <c r="EO460" s="21"/>
      <c r="EP460" s="21"/>
      <c r="EQ460" s="21"/>
      <c r="ER460" s="21"/>
      <c r="ES460" s="21"/>
      <c r="ET460" s="21"/>
      <c r="EU460" s="21"/>
      <c r="EV460" s="21"/>
      <c r="EW460" s="21"/>
      <c r="EX460" s="21"/>
      <c r="EY460" s="21"/>
      <c r="EZ460" s="21"/>
      <c r="FA460" s="21"/>
      <c r="FB460" s="21"/>
      <c r="FC460" s="21"/>
      <c r="FD460" s="21"/>
      <c r="FE460" s="21"/>
      <c r="FF460" s="21"/>
      <c r="FG460" s="21"/>
      <c r="FH460" s="21"/>
      <c r="FI460" s="21"/>
      <c r="FJ460" s="21"/>
      <c r="FK460" s="21"/>
      <c r="FL460" s="21"/>
      <c r="FM460" s="21"/>
      <c r="FN460" s="21"/>
      <c r="FO460" s="21"/>
      <c r="FP460" s="21"/>
      <c r="FQ460" s="21"/>
      <c r="FR460" s="21"/>
      <c r="FS460" s="21"/>
      <c r="FT460" s="21"/>
      <c r="FU460" s="21"/>
      <c r="FV460" s="21"/>
      <c r="FW460" s="21"/>
      <c r="FX460" s="21"/>
      <c r="FY460" s="21"/>
      <c r="FZ460" s="21"/>
      <c r="GA460" s="21"/>
      <c r="GB460" s="21"/>
      <c r="GC460" s="21"/>
      <c r="GD460" s="21"/>
      <c r="GE460" s="21"/>
      <c r="GF460" s="21"/>
      <c r="GG460" s="21"/>
      <c r="GH460" s="21"/>
      <c r="GI460" s="21"/>
      <c r="GJ460" s="21"/>
      <c r="GK460" s="21"/>
      <c r="GL460" s="21"/>
      <c r="GM460" s="21"/>
      <c r="GN460" s="21"/>
      <c r="GO460" s="21"/>
      <c r="GP460" s="21"/>
      <c r="GQ460" s="21"/>
      <c r="GR460" s="21"/>
      <c r="GS460" s="21"/>
      <c r="GT460" s="21"/>
      <c r="GU460" s="21"/>
      <c r="GV460" s="21"/>
      <c r="GW460" s="21"/>
      <c r="GX460" s="21"/>
      <c r="GY460" s="21"/>
      <c r="GZ460" s="21"/>
      <c r="HA460" s="21"/>
      <c r="HB460" s="21"/>
      <c r="HC460" s="21"/>
      <c r="HD460" s="21"/>
      <c r="HE460" s="21"/>
      <c r="HF460" s="21"/>
      <c r="HG460" s="21"/>
      <c r="HH460" s="21"/>
      <c r="HI460" s="21"/>
      <c r="HJ460" s="21"/>
      <c r="HK460" s="21"/>
      <c r="HL460" s="21"/>
      <c r="HM460" s="21"/>
      <c r="HN460" s="21"/>
      <c r="HO460" s="21"/>
      <c r="HP460" s="21"/>
      <c r="HQ460" s="21"/>
      <c r="HR460" s="21"/>
      <c r="HS460" s="21"/>
      <c r="HT460" s="21"/>
      <c r="HU460" s="21"/>
      <c r="HV460" s="21"/>
      <c r="HW460" s="21"/>
      <c r="HX460" s="21"/>
      <c r="HY460" s="21"/>
      <c r="HZ460" s="21"/>
      <c r="IA460" s="21"/>
      <c r="IB460" s="21"/>
      <c r="IC460" s="21"/>
    </row>
    <row r="461" spans="1:237">
      <c r="A461" s="77"/>
      <c r="B461" s="77"/>
      <c r="C461" s="77"/>
      <c r="D461" s="77"/>
      <c r="E461" s="77"/>
      <c r="F461" s="77"/>
      <c r="G461" s="77"/>
      <c r="I461" s="77"/>
      <c r="J461" s="68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  <c r="DB461" s="21"/>
      <c r="DC461" s="21"/>
      <c r="DD461" s="21"/>
      <c r="DE461" s="21"/>
      <c r="DF461" s="21"/>
      <c r="DG461" s="21"/>
      <c r="DH461" s="21"/>
      <c r="DI461" s="21"/>
      <c r="DJ461" s="21"/>
      <c r="DK461" s="21"/>
      <c r="DL461" s="21"/>
      <c r="DM461" s="21"/>
      <c r="DN461" s="21"/>
      <c r="DO461" s="21"/>
      <c r="DP461" s="21"/>
      <c r="DQ461" s="21"/>
      <c r="DR461" s="21"/>
      <c r="DS461" s="21"/>
      <c r="DT461" s="21"/>
      <c r="DU461" s="21"/>
      <c r="DV461" s="21"/>
      <c r="DW461" s="21"/>
      <c r="DX461" s="21"/>
      <c r="DY461" s="21"/>
      <c r="DZ461" s="21"/>
      <c r="EA461" s="21"/>
      <c r="EB461" s="21"/>
      <c r="EC461" s="21"/>
      <c r="ED461" s="21"/>
      <c r="EE461" s="21"/>
      <c r="EF461" s="21"/>
      <c r="EG461" s="21"/>
      <c r="EH461" s="21"/>
      <c r="EI461" s="21"/>
      <c r="EJ461" s="21"/>
      <c r="EK461" s="21"/>
      <c r="EL461" s="21"/>
      <c r="EM461" s="21"/>
      <c r="EN461" s="21"/>
      <c r="EO461" s="21"/>
      <c r="EP461" s="21"/>
      <c r="EQ461" s="21"/>
      <c r="ER461" s="21"/>
      <c r="ES461" s="21"/>
      <c r="ET461" s="21"/>
      <c r="EU461" s="21"/>
      <c r="EV461" s="21"/>
      <c r="EW461" s="21"/>
      <c r="EX461" s="21"/>
      <c r="EY461" s="21"/>
      <c r="EZ461" s="21"/>
      <c r="FA461" s="21"/>
      <c r="FB461" s="21"/>
      <c r="FC461" s="21"/>
      <c r="FD461" s="21"/>
      <c r="FE461" s="21"/>
      <c r="FF461" s="21"/>
      <c r="FG461" s="21"/>
      <c r="FH461" s="21"/>
      <c r="FI461" s="21"/>
      <c r="FJ461" s="21"/>
      <c r="FK461" s="21"/>
      <c r="FL461" s="21"/>
      <c r="FM461" s="21"/>
      <c r="FN461" s="21"/>
      <c r="FO461" s="21"/>
      <c r="FP461" s="21"/>
      <c r="FQ461" s="21"/>
      <c r="FR461" s="21"/>
      <c r="FS461" s="21"/>
      <c r="FT461" s="21"/>
      <c r="FU461" s="21"/>
      <c r="FV461" s="21"/>
      <c r="FW461" s="21"/>
      <c r="FX461" s="21"/>
      <c r="FY461" s="21"/>
      <c r="FZ461" s="21"/>
      <c r="GA461" s="21"/>
      <c r="GB461" s="21"/>
      <c r="GC461" s="21"/>
      <c r="GD461" s="21"/>
      <c r="GE461" s="21"/>
      <c r="GF461" s="21"/>
      <c r="GG461" s="21"/>
      <c r="GH461" s="21"/>
      <c r="GI461" s="21"/>
      <c r="GJ461" s="21"/>
      <c r="GK461" s="21"/>
      <c r="GL461" s="21"/>
      <c r="GM461" s="21"/>
      <c r="GN461" s="21"/>
      <c r="GO461" s="21"/>
      <c r="GP461" s="21"/>
      <c r="GQ461" s="21"/>
      <c r="GR461" s="21"/>
      <c r="GS461" s="21"/>
      <c r="GT461" s="21"/>
      <c r="GU461" s="21"/>
      <c r="GV461" s="21"/>
      <c r="GW461" s="21"/>
      <c r="GX461" s="21"/>
      <c r="GY461" s="21"/>
      <c r="GZ461" s="21"/>
      <c r="HA461" s="21"/>
      <c r="HB461" s="21"/>
      <c r="HC461" s="21"/>
      <c r="HD461" s="21"/>
      <c r="HE461" s="21"/>
      <c r="HF461" s="21"/>
      <c r="HG461" s="21"/>
      <c r="HH461" s="21"/>
      <c r="HI461" s="21"/>
      <c r="HJ461" s="21"/>
      <c r="HK461" s="21"/>
      <c r="HL461" s="21"/>
      <c r="HM461" s="21"/>
      <c r="HN461" s="21"/>
      <c r="HO461" s="21"/>
      <c r="HP461" s="21"/>
      <c r="HQ461" s="21"/>
      <c r="HR461" s="21"/>
      <c r="HS461" s="21"/>
      <c r="HT461" s="21"/>
      <c r="HU461" s="21"/>
      <c r="HV461" s="21"/>
      <c r="HW461" s="21"/>
      <c r="HX461" s="21"/>
      <c r="HY461" s="21"/>
      <c r="HZ461" s="21"/>
      <c r="IA461" s="21"/>
      <c r="IB461" s="21"/>
      <c r="IC461" s="21"/>
    </row>
    <row r="462" spans="1:237">
      <c r="A462" s="77"/>
      <c r="B462" s="77"/>
      <c r="C462" s="77"/>
      <c r="D462" s="77"/>
      <c r="E462" s="77"/>
      <c r="F462" s="77"/>
      <c r="G462" s="77"/>
      <c r="I462" s="77"/>
      <c r="J462" s="68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  <c r="DB462" s="21"/>
      <c r="DC462" s="21"/>
      <c r="DD462" s="21"/>
      <c r="DE462" s="21"/>
      <c r="DF462" s="21"/>
      <c r="DG462" s="21"/>
      <c r="DH462" s="21"/>
      <c r="DI462" s="21"/>
      <c r="DJ462" s="21"/>
      <c r="DK462" s="21"/>
      <c r="DL462" s="21"/>
      <c r="DM462" s="21"/>
      <c r="DN462" s="21"/>
      <c r="DO462" s="21"/>
      <c r="DP462" s="21"/>
      <c r="DQ462" s="21"/>
      <c r="DR462" s="21"/>
      <c r="DS462" s="21"/>
      <c r="DT462" s="21"/>
      <c r="DU462" s="21"/>
      <c r="DV462" s="21"/>
      <c r="DW462" s="21"/>
      <c r="DX462" s="21"/>
      <c r="DY462" s="21"/>
      <c r="DZ462" s="21"/>
      <c r="EA462" s="21"/>
      <c r="EB462" s="21"/>
      <c r="EC462" s="21"/>
      <c r="ED462" s="21"/>
      <c r="EE462" s="21"/>
      <c r="EF462" s="21"/>
      <c r="EG462" s="21"/>
      <c r="EH462" s="21"/>
      <c r="EI462" s="21"/>
      <c r="EJ462" s="21"/>
      <c r="EK462" s="21"/>
      <c r="EL462" s="21"/>
      <c r="EM462" s="21"/>
      <c r="EN462" s="21"/>
      <c r="EO462" s="21"/>
      <c r="EP462" s="21"/>
      <c r="EQ462" s="21"/>
      <c r="ER462" s="21"/>
      <c r="ES462" s="21"/>
      <c r="ET462" s="21"/>
      <c r="EU462" s="21"/>
      <c r="EV462" s="21"/>
      <c r="EW462" s="21"/>
      <c r="EX462" s="21"/>
      <c r="EY462" s="21"/>
      <c r="EZ462" s="21"/>
      <c r="FA462" s="21"/>
      <c r="FB462" s="21"/>
      <c r="FC462" s="21"/>
      <c r="FD462" s="21"/>
      <c r="FE462" s="21"/>
      <c r="FF462" s="21"/>
      <c r="FG462" s="21"/>
      <c r="FH462" s="21"/>
      <c r="FI462" s="21"/>
      <c r="FJ462" s="21"/>
      <c r="FK462" s="21"/>
      <c r="FL462" s="21"/>
      <c r="FM462" s="21"/>
      <c r="FN462" s="21"/>
      <c r="FO462" s="21"/>
      <c r="FP462" s="21"/>
      <c r="FQ462" s="21"/>
      <c r="FR462" s="21"/>
      <c r="FS462" s="21"/>
      <c r="FT462" s="21"/>
      <c r="FU462" s="21"/>
      <c r="FV462" s="21"/>
      <c r="FW462" s="21"/>
      <c r="FX462" s="21"/>
      <c r="FY462" s="21"/>
      <c r="FZ462" s="21"/>
      <c r="GA462" s="21"/>
      <c r="GB462" s="21"/>
      <c r="GC462" s="21"/>
      <c r="GD462" s="21"/>
      <c r="GE462" s="21"/>
      <c r="GF462" s="21"/>
      <c r="GG462" s="21"/>
      <c r="GH462" s="21"/>
      <c r="GI462" s="21"/>
      <c r="GJ462" s="21"/>
      <c r="GK462" s="21"/>
      <c r="GL462" s="21"/>
      <c r="GM462" s="21"/>
      <c r="GN462" s="21"/>
      <c r="GO462" s="21"/>
      <c r="GP462" s="21"/>
      <c r="GQ462" s="21"/>
      <c r="GR462" s="21"/>
      <c r="GS462" s="21"/>
      <c r="GT462" s="21"/>
      <c r="GU462" s="21"/>
      <c r="GV462" s="21"/>
      <c r="GW462" s="21"/>
      <c r="GX462" s="21"/>
      <c r="GY462" s="21"/>
      <c r="GZ462" s="21"/>
      <c r="HA462" s="21"/>
      <c r="HB462" s="21"/>
      <c r="HC462" s="21"/>
      <c r="HD462" s="21"/>
      <c r="HE462" s="21"/>
      <c r="HF462" s="21"/>
      <c r="HG462" s="21"/>
      <c r="HH462" s="21"/>
      <c r="HI462" s="21"/>
      <c r="HJ462" s="21"/>
      <c r="HK462" s="21"/>
      <c r="HL462" s="21"/>
      <c r="HM462" s="21"/>
      <c r="HN462" s="21"/>
      <c r="HO462" s="21"/>
      <c r="HP462" s="21"/>
      <c r="HQ462" s="21"/>
      <c r="HR462" s="21"/>
      <c r="HS462" s="21"/>
      <c r="HT462" s="21"/>
      <c r="HU462" s="21"/>
      <c r="HV462" s="21"/>
      <c r="HW462" s="21"/>
      <c r="HX462" s="21"/>
      <c r="HY462" s="21"/>
      <c r="HZ462" s="21"/>
      <c r="IA462" s="21"/>
      <c r="IB462" s="21"/>
      <c r="IC462" s="21"/>
    </row>
    <row r="463" spans="1:237">
      <c r="A463" s="77"/>
      <c r="B463" s="77"/>
      <c r="C463" s="77"/>
      <c r="D463" s="77"/>
      <c r="E463" s="77"/>
      <c r="F463" s="77"/>
      <c r="G463" s="77"/>
      <c r="I463" s="77"/>
      <c r="J463" s="68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  <c r="DB463" s="21"/>
      <c r="DC463" s="21"/>
      <c r="DD463" s="21"/>
      <c r="DE463" s="21"/>
      <c r="DF463" s="21"/>
      <c r="DG463" s="21"/>
      <c r="DH463" s="21"/>
      <c r="DI463" s="21"/>
      <c r="DJ463" s="21"/>
      <c r="DK463" s="21"/>
      <c r="DL463" s="21"/>
      <c r="DM463" s="21"/>
      <c r="DN463" s="21"/>
      <c r="DO463" s="21"/>
      <c r="DP463" s="21"/>
      <c r="DQ463" s="21"/>
      <c r="DR463" s="21"/>
      <c r="DS463" s="21"/>
      <c r="DT463" s="21"/>
      <c r="DU463" s="21"/>
      <c r="DV463" s="21"/>
      <c r="DW463" s="21"/>
      <c r="DX463" s="21"/>
      <c r="DY463" s="21"/>
      <c r="DZ463" s="21"/>
      <c r="EA463" s="21"/>
      <c r="EB463" s="21"/>
      <c r="EC463" s="21"/>
      <c r="ED463" s="21"/>
      <c r="EE463" s="21"/>
      <c r="EF463" s="21"/>
      <c r="EG463" s="21"/>
      <c r="EH463" s="21"/>
      <c r="EI463" s="21"/>
      <c r="EJ463" s="21"/>
      <c r="EK463" s="21"/>
      <c r="EL463" s="21"/>
      <c r="EM463" s="21"/>
      <c r="EN463" s="21"/>
      <c r="EO463" s="21"/>
      <c r="EP463" s="21"/>
      <c r="EQ463" s="21"/>
      <c r="ER463" s="21"/>
      <c r="ES463" s="21"/>
      <c r="ET463" s="21"/>
      <c r="EU463" s="21"/>
      <c r="EV463" s="21"/>
      <c r="EW463" s="21"/>
      <c r="EX463" s="21"/>
      <c r="EY463" s="21"/>
      <c r="EZ463" s="21"/>
      <c r="FA463" s="21"/>
      <c r="FB463" s="21"/>
      <c r="FC463" s="21"/>
      <c r="FD463" s="21"/>
      <c r="FE463" s="21"/>
      <c r="FF463" s="21"/>
      <c r="FG463" s="21"/>
      <c r="FH463" s="21"/>
      <c r="FI463" s="21"/>
      <c r="FJ463" s="21"/>
      <c r="FK463" s="21"/>
      <c r="FL463" s="21"/>
      <c r="FM463" s="21"/>
      <c r="FN463" s="21"/>
      <c r="FO463" s="21"/>
      <c r="FP463" s="21"/>
      <c r="FQ463" s="21"/>
      <c r="FR463" s="21"/>
      <c r="FS463" s="21"/>
      <c r="FT463" s="21"/>
      <c r="FU463" s="21"/>
      <c r="FV463" s="21"/>
      <c r="FW463" s="21"/>
      <c r="FX463" s="21"/>
      <c r="FY463" s="21"/>
      <c r="FZ463" s="21"/>
      <c r="GA463" s="21"/>
      <c r="GB463" s="21"/>
      <c r="GC463" s="21"/>
      <c r="GD463" s="21"/>
      <c r="GE463" s="21"/>
      <c r="GF463" s="21"/>
      <c r="GG463" s="21"/>
      <c r="GH463" s="21"/>
      <c r="GI463" s="21"/>
      <c r="GJ463" s="21"/>
      <c r="GK463" s="21"/>
      <c r="GL463" s="21"/>
      <c r="GM463" s="21"/>
      <c r="GN463" s="21"/>
      <c r="GO463" s="21"/>
      <c r="GP463" s="21"/>
      <c r="GQ463" s="21"/>
      <c r="GR463" s="21"/>
      <c r="GS463" s="21"/>
      <c r="GT463" s="21"/>
      <c r="GU463" s="21"/>
      <c r="GV463" s="21"/>
      <c r="GW463" s="21"/>
      <c r="GX463" s="21"/>
      <c r="GY463" s="21"/>
      <c r="GZ463" s="21"/>
      <c r="HA463" s="21"/>
      <c r="HB463" s="21"/>
      <c r="HC463" s="21"/>
      <c r="HD463" s="21"/>
      <c r="HE463" s="21"/>
      <c r="HF463" s="21"/>
      <c r="HG463" s="21"/>
      <c r="HH463" s="21"/>
      <c r="HI463" s="21"/>
      <c r="HJ463" s="21"/>
      <c r="HK463" s="21"/>
      <c r="HL463" s="21"/>
      <c r="HM463" s="21"/>
      <c r="HN463" s="21"/>
      <c r="HO463" s="21"/>
      <c r="HP463" s="21"/>
      <c r="HQ463" s="21"/>
      <c r="HR463" s="21"/>
      <c r="HS463" s="21"/>
      <c r="HT463" s="21"/>
      <c r="HU463" s="21"/>
      <c r="HV463" s="21"/>
      <c r="HW463" s="21"/>
      <c r="HX463" s="21"/>
      <c r="HY463" s="21"/>
      <c r="HZ463" s="21"/>
      <c r="IA463" s="21"/>
      <c r="IB463" s="21"/>
      <c r="IC463" s="21"/>
    </row>
  </sheetData>
  <sheetProtection password="CC66" sheet="1"/>
  <mergeCells count="8">
    <mergeCell ref="D2:I2"/>
    <mergeCell ref="A28:C28"/>
    <mergeCell ref="A9:F15"/>
    <mergeCell ref="A21:H21"/>
    <mergeCell ref="A22:H22"/>
    <mergeCell ref="A3:I3"/>
    <mergeCell ref="A20:H20"/>
    <mergeCell ref="E7:I7"/>
  </mergeCells>
  <phoneticPr fontId="9" type="noConversion"/>
  <pageMargins left="0.47" right="0.42" top="0.71" bottom="1" header="0.5" footer="0.5"/>
  <pageSetup paperSize="9" orientation="portrait" r:id="rId1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G28" sqref="G28"/>
    </sheetView>
  </sheetViews>
  <sheetFormatPr defaultRowHeight="13.2"/>
  <sheetData>
    <row r="1" spans="1:6">
      <c r="A1" s="125" t="s">
        <v>80</v>
      </c>
      <c r="B1" s="125"/>
      <c r="C1" s="125"/>
      <c r="D1" s="125"/>
      <c r="E1" s="125"/>
      <c r="F1" s="125"/>
    </row>
    <row r="3" spans="1:6">
      <c r="A3" s="127" t="s">
        <v>81</v>
      </c>
      <c r="B3" s="127"/>
      <c r="C3" s="127"/>
    </row>
    <row r="4" spans="1:6">
      <c r="A4" t="s">
        <v>82</v>
      </c>
    </row>
    <row r="5" spans="1:6">
      <c r="A5" t="s">
        <v>83</v>
      </c>
    </row>
    <row r="6" spans="1:6">
      <c r="A6" t="s">
        <v>84</v>
      </c>
    </row>
    <row r="7" spans="1:6">
      <c r="A7" t="s">
        <v>85</v>
      </c>
    </row>
    <row r="8" spans="1:6">
      <c r="A8" t="s">
        <v>86</v>
      </c>
    </row>
    <row r="9" spans="1:6">
      <c r="A9" t="s">
        <v>87</v>
      </c>
    </row>
    <row r="11" spans="1:6">
      <c r="A11" s="127" t="s">
        <v>92</v>
      </c>
      <c r="B11" s="127"/>
      <c r="C11" s="127"/>
      <c r="D11" s="127"/>
    </row>
    <row r="12" spans="1:6">
      <c r="A12" t="s">
        <v>88</v>
      </c>
    </row>
    <row r="13" spans="1:6">
      <c r="A13" t="s">
        <v>89</v>
      </c>
    </row>
    <row r="14" spans="1:6">
      <c r="A14" t="s">
        <v>90</v>
      </c>
    </row>
    <row r="16" spans="1:6" s="127" customFormat="1">
      <c r="A16" s="127" t="s">
        <v>76</v>
      </c>
    </row>
    <row r="17" spans="1:8">
      <c r="A17" t="s">
        <v>59</v>
      </c>
      <c r="D17" s="128">
        <v>1</v>
      </c>
      <c r="E17" t="s">
        <v>61</v>
      </c>
      <c r="H17" s="128">
        <v>1</v>
      </c>
    </row>
    <row r="18" spans="1:8">
      <c r="A18" t="s">
        <v>60</v>
      </c>
      <c r="D18" s="128">
        <v>0.5</v>
      </c>
      <c r="E18" t="s">
        <v>62</v>
      </c>
      <c r="H18" s="128">
        <v>0.5</v>
      </c>
    </row>
    <row r="19" spans="1:8">
      <c r="A19" t="s">
        <v>79</v>
      </c>
      <c r="D19" s="128">
        <v>0.4</v>
      </c>
      <c r="E19" t="s">
        <v>63</v>
      </c>
      <c r="H19" s="128">
        <v>0.4</v>
      </c>
    </row>
    <row r="21" spans="1:8">
      <c r="A21" t="s">
        <v>91</v>
      </c>
    </row>
    <row r="22" spans="1:8">
      <c r="A22" s="126" t="s">
        <v>93</v>
      </c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sweapr96</vt:lpstr>
      <vt:lpstr>business trip report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travelcostreport</dc:title>
  <dc:creator>Mats Andersson</dc:creator>
  <cp:lastModifiedBy>Dmitriy Schneider</cp:lastModifiedBy>
  <cp:lastPrinted>2021-11-08T11:23:36Z</cp:lastPrinted>
  <dcterms:created xsi:type="dcterms:W3CDTF">1999-07-16T04:51:17Z</dcterms:created>
  <dcterms:modified xsi:type="dcterms:W3CDTF">2026-02-01T16:02:22Z</dcterms:modified>
</cp:coreProperties>
</file>